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drawings/drawing9.xml" ContentType="application/vnd.openxmlformats-officedocument.drawing+xml"/>
  <Override PartName="/xl/tables/table8.xml" ContentType="application/vnd.openxmlformats-officedocument.spreadsheetml.table+xml"/>
  <Override PartName="/xl/drawings/drawing10.xml" ContentType="application/vnd.openxmlformats-officedocument.drawing+xml"/>
  <Override PartName="/xl/tables/table9.xml" ContentType="application/vnd.openxmlformats-officedocument.spreadsheetml.table+xml"/>
  <Override PartName="/xl/drawings/drawing11.xml" ContentType="application/vnd.openxmlformats-officedocument.drawing+xml"/>
  <Override PartName="/xl/tables/table10.xml" ContentType="application/vnd.openxmlformats-officedocument.spreadsheetml.table+xml"/>
  <Override PartName="/xl/drawings/drawing12.xml" ContentType="application/vnd.openxmlformats-officedocument.drawing+xml"/>
  <Override PartName="/xl/tables/table11.xml" ContentType="application/vnd.openxmlformats-officedocument.spreadsheetml.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worldhealthorg.sharepoint.com/sites/OneHealthFieldEpidemiologyCompetencyFramework/Shared Documents/General/Digital Tools/Prioritization Tool/"/>
    </mc:Choice>
  </mc:AlternateContent>
  <xr:revisionPtr revIDLastSave="0" documentId="8_{3EDD74A9-47B2-4D52-9BCE-67165CD86D3B}" xr6:coauthVersionLast="47" xr6:coauthVersionMax="47" xr10:uidLastSave="{00000000-0000-0000-0000-000000000000}"/>
  <bookViews>
    <workbookView xWindow="-120" yWindow="-120" windowWidth="20730" windowHeight="11310" tabRatio="866" firstSheet="2" xr2:uid="{9FBC9ABA-E894-41DB-B117-0880AD18315B}"/>
  </bookViews>
  <sheets>
    <sheet name="Instructions" sheetId="2" r:id="rId1"/>
    <sheet name="Domain 1" sheetId="14" r:id="rId2"/>
    <sheet name="Domain 2" sheetId="1" r:id="rId3"/>
    <sheet name="Domain 3" sheetId="3" r:id="rId4"/>
    <sheet name="Domain 4" sheetId="4" r:id="rId5"/>
    <sheet name="Domain 5" sheetId="5" r:id="rId6"/>
    <sheet name="Domain 6" sheetId="6" r:id="rId7"/>
    <sheet name="Domain 7" sheetId="7" r:id="rId8"/>
    <sheet name="Domain 8" sheetId="8" r:id="rId9"/>
    <sheet name="Domain 9" sheetId="9" r:id="rId10"/>
    <sheet name="Domain 10" sheetId="15" r:id="rId11"/>
    <sheet name="Domain 11" sheetId="10" r:id="rId12"/>
    <sheet name="Domain 12" sheetId="11" r:id="rId13"/>
    <sheet name="Domain 13" sheetId="12" r:id="rId14"/>
    <sheet name="Domain 14" sheetId="13" r:id="rId15"/>
    <sheet name="Acknowledgements" sheetId="16" r:id="rId16"/>
  </sheets>
  <definedNames>
    <definedName name="Scale" localSheetId="1">'Domain 1'!$P$6:$P$10</definedName>
    <definedName name="Scale" localSheetId="10">'Domain 10'!$AI$6:$AI$10</definedName>
    <definedName name="Scale" localSheetId="11">'Domain 11'!$AO$6:$AO$10</definedName>
    <definedName name="Scale" localSheetId="12">'Domain 12'!$T$6:$T$10</definedName>
    <definedName name="Scale" localSheetId="13">'Domain 13'!$AH$6:$AH$10</definedName>
    <definedName name="Scale" localSheetId="14">'Domain 14'!$R$6:$R$10</definedName>
    <definedName name="Scale" localSheetId="2">'Domain 2'!$Y$6:$Y$10</definedName>
    <definedName name="Scale" localSheetId="3">'Domain 3'!$Y$6:$Y$10</definedName>
    <definedName name="Scale" localSheetId="4">'Domain 4'!$R$6:$R$10</definedName>
    <definedName name="Scale" localSheetId="5">'Domain 5'!$S$6:$S$10</definedName>
    <definedName name="Scale" localSheetId="6">'Domain 6'!$V$6:$V$10</definedName>
    <definedName name="Scale" localSheetId="7">'Domain 7'!$Y$6:$Y$10</definedName>
    <definedName name="Scale" localSheetId="8">'Domain 8'!$W$6:$W$10</definedName>
    <definedName name="Scale" localSheetId="9">'Domain 9'!$N$6:$N$9</definedName>
    <definedName name="Scale" localSheetId="0">#REF!</definedName>
    <definedName name="Scal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7" i="6" l="1"/>
  <c r="BI29" i="12"/>
  <c r="BI28" i="12"/>
  <c r="BI27" i="12"/>
  <c r="BI26" i="12"/>
  <c r="BI25" i="12"/>
  <c r="BI24" i="12"/>
  <c r="BI23" i="12"/>
  <c r="BI22" i="12"/>
  <c r="BI21" i="12"/>
  <c r="BI20" i="12"/>
  <c r="BI19" i="12"/>
  <c r="BI18" i="12"/>
  <c r="BI17" i="12"/>
  <c r="BI16" i="12"/>
  <c r="BI15" i="12"/>
  <c r="BI14" i="12"/>
  <c r="BI13" i="12"/>
  <c r="BI12" i="12"/>
  <c r="BI11" i="12"/>
  <c r="BI10" i="12"/>
  <c r="BI9" i="12"/>
  <c r="BI8" i="12"/>
  <c r="BI7" i="12"/>
  <c r="BI6" i="12"/>
  <c r="AG9" i="11"/>
  <c r="BU36" i="10" l="1"/>
  <c r="BV35" i="10" s="1"/>
  <c r="BT35" i="10"/>
  <c r="BU34" i="10" s="1"/>
  <c r="AS35" i="10"/>
  <c r="BU7" i="10" s="1"/>
  <c r="AT35" i="10"/>
  <c r="BU8" i="10" s="1"/>
  <c r="AU35" i="10"/>
  <c r="BU9" i="10" s="1"/>
  <c r="AV35" i="10"/>
  <c r="BU10" i="10" s="1"/>
  <c r="AW35" i="10"/>
  <c r="BU11" i="10" s="1"/>
  <c r="AX35" i="10"/>
  <c r="BU12" i="10" s="1"/>
  <c r="AY35" i="10"/>
  <c r="BU13" i="10" s="1"/>
  <c r="AZ35" i="10"/>
  <c r="BU14" i="10" s="1"/>
  <c r="BA35" i="10"/>
  <c r="BU15" i="10" s="1"/>
  <c r="BB35" i="10"/>
  <c r="BU16" i="10" s="1"/>
  <c r="BC35" i="10"/>
  <c r="BU17" i="10" s="1"/>
  <c r="BD35" i="10"/>
  <c r="BU18" i="10" s="1"/>
  <c r="BE35" i="10"/>
  <c r="BU19" i="10" s="1"/>
  <c r="BF35" i="10"/>
  <c r="BU20" i="10" s="1"/>
  <c r="BG35" i="10"/>
  <c r="BU21" i="10" s="1"/>
  <c r="BH35" i="10"/>
  <c r="BU22" i="10" s="1"/>
  <c r="BI35" i="10"/>
  <c r="BU23" i="10" s="1"/>
  <c r="BJ35" i="10"/>
  <c r="BU24" i="10" s="1"/>
  <c r="BK35" i="10"/>
  <c r="BU25" i="10" s="1"/>
  <c r="BL35" i="10"/>
  <c r="BU26" i="10" s="1"/>
  <c r="BM35" i="10"/>
  <c r="BU27" i="10" s="1"/>
  <c r="BN35" i="10"/>
  <c r="BU28" i="10" s="1"/>
  <c r="BO35" i="10"/>
  <c r="BU29" i="10" s="1"/>
  <c r="BP35" i="10"/>
  <c r="BU30" i="10" s="1"/>
  <c r="BQ35" i="10"/>
  <c r="BU31" i="10" s="1"/>
  <c r="BR35" i="10"/>
  <c r="BU32" i="10" s="1"/>
  <c r="BS35" i="10"/>
  <c r="BU33" i="10" s="1"/>
  <c r="AR35" i="10"/>
  <c r="AF21" i="15"/>
  <c r="BK30" i="15"/>
  <c r="BK29" i="15"/>
  <c r="BK28" i="15"/>
  <c r="BK27" i="15"/>
  <c r="BK26" i="15"/>
  <c r="BK25" i="15"/>
  <c r="BK24" i="15"/>
  <c r="BK23" i="15"/>
  <c r="BK22" i="15"/>
  <c r="BK21" i="15"/>
  <c r="BK20" i="15"/>
  <c r="BK19" i="15"/>
  <c r="BK18" i="15"/>
  <c r="BK17" i="15"/>
  <c r="BK16" i="15"/>
  <c r="BK15" i="15"/>
  <c r="BK14" i="15"/>
  <c r="BK13" i="15"/>
  <c r="BK12" i="15"/>
  <c r="BK11" i="15"/>
  <c r="BK10" i="15"/>
  <c r="BK9" i="15"/>
  <c r="BK8" i="15"/>
  <c r="BK7" i="15"/>
  <c r="BK6" i="15"/>
  <c r="S9" i="9"/>
  <c r="T8" i="9" s="1"/>
  <c r="R8" i="9"/>
  <c r="S7" i="9" s="1"/>
  <c r="Q7" i="9"/>
  <c r="R6" i="9" s="1"/>
  <c r="Q8" i="9"/>
  <c r="S6" i="9" s="1"/>
  <c r="AM18" i="8"/>
  <c r="AM17" i="8"/>
  <c r="AM16" i="8"/>
  <c r="AM15" i="8"/>
  <c r="AM14" i="8"/>
  <c r="AM13" i="8"/>
  <c r="AM12" i="8"/>
  <c r="AM11" i="8"/>
  <c r="AM10" i="8"/>
  <c r="AM9" i="8"/>
  <c r="AM8" i="8"/>
  <c r="AM7" i="8"/>
  <c r="AM6" i="8"/>
  <c r="AQ20" i="7"/>
  <c r="AQ16" i="7"/>
  <c r="AQ15" i="7"/>
  <c r="AQ14" i="7"/>
  <c r="AQ13" i="7"/>
  <c r="AQ12" i="7"/>
  <c r="AQ11" i="7"/>
  <c r="AQ10" i="7"/>
  <c r="AQ9" i="7"/>
  <c r="AQ8" i="7"/>
  <c r="AQ7" i="7"/>
  <c r="AQ6" i="7"/>
  <c r="BW35" i="10" l="1"/>
  <c r="AK35" i="10" s="1"/>
  <c r="BU6" i="10"/>
  <c r="S7" i="14"/>
  <c r="V12" i="4"/>
  <c r="AA7" i="4" s="1"/>
  <c r="W12" i="4"/>
  <c r="AA8" i="4" s="1"/>
  <c r="X12" i="4"/>
  <c r="AA9" i="4" s="1"/>
  <c r="Y12" i="4"/>
  <c r="AA10" i="4" s="1"/>
  <c r="Z12" i="4"/>
  <c r="AA11" i="4" s="1"/>
  <c r="U12" i="4"/>
  <c r="AA6" i="4" s="1"/>
  <c r="AA13" i="4"/>
  <c r="AB12" i="4" s="1"/>
  <c r="AO18" i="1"/>
  <c r="AO20" i="1"/>
  <c r="AP19" i="1" s="1"/>
  <c r="AN20" i="1"/>
  <c r="AP18" i="1" s="1"/>
  <c r="AN19" i="1"/>
  <c r="AM19" i="1"/>
  <c r="AO17" i="1" s="1"/>
  <c r="AM20" i="1"/>
  <c r="AP17" i="1" s="1"/>
  <c r="AM18" i="1"/>
  <c r="AN17" i="1" s="1"/>
  <c r="AL18" i="1"/>
  <c r="AN16" i="1" s="1"/>
  <c r="AL19" i="1"/>
  <c r="AO16" i="1" s="1"/>
  <c r="AL20" i="1"/>
  <c r="AP16" i="1" s="1"/>
  <c r="AL17" i="1"/>
  <c r="AM16" i="1" s="1"/>
  <c r="AK17" i="1"/>
  <c r="AM15" i="1" s="1"/>
  <c r="AK18" i="1"/>
  <c r="AN15" i="1" s="1"/>
  <c r="AK19" i="1"/>
  <c r="AO15" i="1" s="1"/>
  <c r="AK20" i="1"/>
  <c r="AP15" i="1" s="1"/>
  <c r="AM10" i="1"/>
  <c r="AK16" i="1"/>
  <c r="AJ17" i="1"/>
  <c r="AM14" i="1" s="1"/>
  <c r="AJ18" i="1"/>
  <c r="AN14" i="1" s="1"/>
  <c r="AJ19" i="1"/>
  <c r="AO14" i="1" s="1"/>
  <c r="AJ20" i="1"/>
  <c r="AP14" i="1" s="1"/>
  <c r="AI17" i="1"/>
  <c r="AM13" i="1" s="1"/>
  <c r="AI18" i="1"/>
  <c r="AN13" i="1" s="1"/>
  <c r="AI19" i="1"/>
  <c r="AO13" i="1" s="1"/>
  <c r="AI20" i="1"/>
  <c r="AP13" i="1" s="1"/>
  <c r="AH17" i="1"/>
  <c r="AM12" i="1" s="1"/>
  <c r="AH18" i="1"/>
  <c r="AN12" i="1" s="1"/>
  <c r="AH19" i="1"/>
  <c r="AO12" i="1" s="1"/>
  <c r="AH20" i="1"/>
  <c r="AP12" i="1" s="1"/>
  <c r="AG17" i="1"/>
  <c r="AM11" i="1" s="1"/>
  <c r="AG18" i="1"/>
  <c r="AN11" i="1" s="1"/>
  <c r="AG19" i="1"/>
  <c r="AO11" i="1" s="1"/>
  <c r="AG20" i="1"/>
  <c r="AP11" i="1" s="1"/>
  <c r="AF17" i="1"/>
  <c r="AF18" i="1"/>
  <c r="AN10" i="1" s="1"/>
  <c r="AF19" i="1"/>
  <c r="AO10" i="1" s="1"/>
  <c r="AF20" i="1"/>
  <c r="AP10" i="1" s="1"/>
  <c r="AE17" i="1"/>
  <c r="AM9" i="1" s="1"/>
  <c r="AE18" i="1"/>
  <c r="AN9" i="1" s="1"/>
  <c r="AE19" i="1"/>
  <c r="AO9" i="1" s="1"/>
  <c r="AE20" i="1"/>
  <c r="AP9" i="1" s="1"/>
  <c r="AD17" i="1"/>
  <c r="AM8" i="1" s="1"/>
  <c r="AD18" i="1"/>
  <c r="AN8" i="1" s="1"/>
  <c r="AD19" i="1"/>
  <c r="AO8" i="1" s="1"/>
  <c r="AD20" i="1"/>
  <c r="AP8" i="1" s="1"/>
  <c r="AC17" i="1"/>
  <c r="AM7" i="1" s="1"/>
  <c r="AC18" i="1"/>
  <c r="AN7" i="1" s="1"/>
  <c r="AC19" i="1"/>
  <c r="AO7" i="1" s="1"/>
  <c r="AC20" i="1"/>
  <c r="AP7" i="1" s="1"/>
  <c r="AB17" i="1"/>
  <c r="AM6" i="1" s="1"/>
  <c r="AB18" i="1"/>
  <c r="AN6" i="1" s="1"/>
  <c r="AB19" i="1"/>
  <c r="AO6" i="1" s="1"/>
  <c r="AB20" i="1"/>
  <c r="W11" i="14"/>
  <c r="X10" i="14" s="1"/>
  <c r="T10" i="14"/>
  <c r="W7" i="14" s="1"/>
  <c r="U10" i="14"/>
  <c r="W8" i="14" s="1"/>
  <c r="V10" i="14"/>
  <c r="W9" i="14" s="1"/>
  <c r="S10" i="14"/>
  <c r="BI30" i="15"/>
  <c r="BH30" i="15"/>
  <c r="BJ28" i="15" s="1"/>
  <c r="BG30" i="15"/>
  <c r="BJ27" i="15" s="1"/>
  <c r="BF30" i="15"/>
  <c r="BJ26" i="15" s="1"/>
  <c r="BE30" i="15"/>
  <c r="BJ25" i="15" s="1"/>
  <c r="BD30" i="15"/>
  <c r="BJ24" i="15" s="1"/>
  <c r="BC30" i="15"/>
  <c r="BJ23" i="15" s="1"/>
  <c r="BB30" i="15"/>
  <c r="BJ22" i="15" s="1"/>
  <c r="BA30" i="15"/>
  <c r="BJ21" i="15" s="1"/>
  <c r="AZ30" i="15"/>
  <c r="BJ20" i="15" s="1"/>
  <c r="AY30" i="15"/>
  <c r="BJ19" i="15" s="1"/>
  <c r="AX30" i="15"/>
  <c r="BJ18" i="15" s="1"/>
  <c r="AW30" i="15"/>
  <c r="BJ17" i="15" s="1"/>
  <c r="AV30" i="15"/>
  <c r="AU30" i="15"/>
  <c r="AT30" i="15"/>
  <c r="AS30" i="15"/>
  <c r="BJ13" i="15" s="1"/>
  <c r="AR30" i="15"/>
  <c r="BJ12" i="15" s="1"/>
  <c r="AQ30" i="15"/>
  <c r="BJ11" i="15" s="1"/>
  <c r="AP30" i="15"/>
  <c r="BJ10" i="15" s="1"/>
  <c r="AO30" i="15"/>
  <c r="BJ9" i="15" s="1"/>
  <c r="AN30" i="15"/>
  <c r="BJ8" i="15" s="1"/>
  <c r="AM30" i="15"/>
  <c r="BJ7" i="15" s="1"/>
  <c r="AL30" i="15"/>
  <c r="AE30" i="15" s="1"/>
  <c r="AF30" i="15" s="1"/>
  <c r="BJ29" i="15"/>
  <c r="BH29" i="15"/>
  <c r="BI28" i="15" s="1"/>
  <c r="BG29" i="15"/>
  <c r="BI27" i="15" s="1"/>
  <c r="BF29" i="15"/>
  <c r="BI26" i="15" s="1"/>
  <c r="BE29" i="15"/>
  <c r="BI25" i="15" s="1"/>
  <c r="BD29" i="15"/>
  <c r="BI24" i="15" s="1"/>
  <c r="BC29" i="15"/>
  <c r="BI23" i="15" s="1"/>
  <c r="BB29" i="15"/>
  <c r="BI22" i="15" s="1"/>
  <c r="BA29" i="15"/>
  <c r="BI21" i="15" s="1"/>
  <c r="AZ29" i="15"/>
  <c r="BI20" i="15" s="1"/>
  <c r="AY29" i="15"/>
  <c r="BI19" i="15" s="1"/>
  <c r="AX29" i="15"/>
  <c r="BI18" i="15" s="1"/>
  <c r="AW29" i="15"/>
  <c r="BI17" i="15" s="1"/>
  <c r="AV29" i="15"/>
  <c r="BI16" i="15" s="1"/>
  <c r="AU29" i="15"/>
  <c r="BI15" i="15" s="1"/>
  <c r="AT29" i="15"/>
  <c r="BI14" i="15" s="1"/>
  <c r="AS29" i="15"/>
  <c r="BI13" i="15" s="1"/>
  <c r="AR29" i="15"/>
  <c r="BI12" i="15" s="1"/>
  <c r="AQ29" i="15"/>
  <c r="BI11" i="15" s="1"/>
  <c r="AP29" i="15"/>
  <c r="BI10" i="15" s="1"/>
  <c r="AO29" i="15"/>
  <c r="BI9" i="15" s="1"/>
  <c r="AN29" i="15"/>
  <c r="AM29" i="15"/>
  <c r="BI7" i="15" s="1"/>
  <c r="AL29" i="15"/>
  <c r="AE29" i="15" s="1"/>
  <c r="AF29" i="15" s="1"/>
  <c r="BG28" i="15"/>
  <c r="BH27" i="15" s="1"/>
  <c r="BF28" i="15"/>
  <c r="BH26" i="15" s="1"/>
  <c r="BE28" i="15"/>
  <c r="BH25" i="15" s="1"/>
  <c r="BD28" i="15"/>
  <c r="BH24" i="15" s="1"/>
  <c r="BC28" i="15"/>
  <c r="BH23" i="15" s="1"/>
  <c r="BB28" i="15"/>
  <c r="BH22" i="15" s="1"/>
  <c r="BA28" i="15"/>
  <c r="BH21" i="15" s="1"/>
  <c r="AZ28" i="15"/>
  <c r="BH20" i="15" s="1"/>
  <c r="AY28" i="15"/>
  <c r="BH19" i="15" s="1"/>
  <c r="AX28" i="15"/>
  <c r="BH18" i="15" s="1"/>
  <c r="AW28" i="15"/>
  <c r="BH17" i="15" s="1"/>
  <c r="AV28" i="15"/>
  <c r="BH16" i="15" s="1"/>
  <c r="AU28" i="15"/>
  <c r="BH15" i="15" s="1"/>
  <c r="AT28" i="15"/>
  <c r="BH14" i="15" s="1"/>
  <c r="AS28" i="15"/>
  <c r="AR28" i="15"/>
  <c r="BH12" i="15" s="1"/>
  <c r="AQ28" i="15"/>
  <c r="BH11" i="15" s="1"/>
  <c r="AP28" i="15"/>
  <c r="BH10" i="15" s="1"/>
  <c r="AO28" i="15"/>
  <c r="BH9" i="15" s="1"/>
  <c r="AN28" i="15"/>
  <c r="BH8" i="15" s="1"/>
  <c r="AM28" i="15"/>
  <c r="BH7" i="15" s="1"/>
  <c r="AL28" i="15"/>
  <c r="AE28" i="15" s="1"/>
  <c r="AF28" i="15" s="1"/>
  <c r="BF27" i="15"/>
  <c r="BG26" i="15" s="1"/>
  <c r="BE27" i="15"/>
  <c r="BG25" i="15" s="1"/>
  <c r="BD27" i="15"/>
  <c r="BG24" i="15" s="1"/>
  <c r="BC27" i="15"/>
  <c r="BG23" i="15" s="1"/>
  <c r="BB27" i="15"/>
  <c r="BG22" i="15" s="1"/>
  <c r="BA27" i="15"/>
  <c r="BG21" i="15" s="1"/>
  <c r="AZ27" i="15"/>
  <c r="BG20" i="15" s="1"/>
  <c r="AY27" i="15"/>
  <c r="BG19" i="15" s="1"/>
  <c r="AX27" i="15"/>
  <c r="BG18" i="15" s="1"/>
  <c r="AW27" i="15"/>
  <c r="BG17" i="15" s="1"/>
  <c r="AV27" i="15"/>
  <c r="BG16" i="15" s="1"/>
  <c r="AU27" i="15"/>
  <c r="BG15" i="15" s="1"/>
  <c r="AT27" i="15"/>
  <c r="AS27" i="15"/>
  <c r="BG13" i="15" s="1"/>
  <c r="AR27" i="15"/>
  <c r="BG12" i="15" s="1"/>
  <c r="AQ27" i="15"/>
  <c r="AP27" i="15"/>
  <c r="BG10" i="15" s="1"/>
  <c r="AO27" i="15"/>
  <c r="AN27" i="15"/>
  <c r="AM27" i="15"/>
  <c r="BG7" i="15" s="1"/>
  <c r="AL27" i="15"/>
  <c r="AE27" i="15" s="1"/>
  <c r="AF27" i="15" s="1"/>
  <c r="BE26" i="15"/>
  <c r="BF25" i="15" s="1"/>
  <c r="BD26" i="15"/>
  <c r="BF24" i="15" s="1"/>
  <c r="BC26" i="15"/>
  <c r="BF23" i="15" s="1"/>
  <c r="BB26" i="15"/>
  <c r="BF22" i="15" s="1"/>
  <c r="BA26" i="15"/>
  <c r="BF21" i="15" s="1"/>
  <c r="AZ26" i="15"/>
  <c r="AY26" i="15"/>
  <c r="BF19" i="15" s="1"/>
  <c r="AX26" i="15"/>
  <c r="BF18" i="15" s="1"/>
  <c r="AW26" i="15"/>
  <c r="BF17" i="15" s="1"/>
  <c r="AV26" i="15"/>
  <c r="BF16" i="15" s="1"/>
  <c r="AU26" i="15"/>
  <c r="BF15" i="15" s="1"/>
  <c r="AT26" i="15"/>
  <c r="BF14" i="15" s="1"/>
  <c r="AS26" i="15"/>
  <c r="AR26" i="15"/>
  <c r="BF12" i="15" s="1"/>
  <c r="AQ26" i="15"/>
  <c r="BF11" i="15" s="1"/>
  <c r="AP26" i="15"/>
  <c r="BF10" i="15" s="1"/>
  <c r="AO26" i="15"/>
  <c r="BF9" i="15" s="1"/>
  <c r="AN26" i="15"/>
  <c r="BF8" i="15" s="1"/>
  <c r="AM26" i="15"/>
  <c r="BF7" i="15" s="1"/>
  <c r="AL26" i="15"/>
  <c r="AE26" i="15" s="1"/>
  <c r="AF26" i="15" s="1"/>
  <c r="BD25" i="15"/>
  <c r="BE24" i="15" s="1"/>
  <c r="BC25" i="15"/>
  <c r="BE23" i="15" s="1"/>
  <c r="BB25" i="15"/>
  <c r="BE22" i="15" s="1"/>
  <c r="BA25" i="15"/>
  <c r="BE21" i="15" s="1"/>
  <c r="AZ25" i="15"/>
  <c r="BE20" i="15" s="1"/>
  <c r="AY25" i="15"/>
  <c r="BE19" i="15" s="1"/>
  <c r="AX25" i="15"/>
  <c r="BE18" i="15" s="1"/>
  <c r="AW25" i="15"/>
  <c r="BE17" i="15" s="1"/>
  <c r="AV25" i="15"/>
  <c r="AU25" i="15"/>
  <c r="BE15" i="15" s="1"/>
  <c r="AT25" i="15"/>
  <c r="BE14" i="15" s="1"/>
  <c r="AS25" i="15"/>
  <c r="BE13" i="15" s="1"/>
  <c r="AR25" i="15"/>
  <c r="BE12" i="15" s="1"/>
  <c r="AQ25" i="15"/>
  <c r="BE11" i="15" s="1"/>
  <c r="AP25" i="15"/>
  <c r="BE10" i="15" s="1"/>
  <c r="AO25" i="15"/>
  <c r="BE9" i="15" s="1"/>
  <c r="AN25" i="15"/>
  <c r="AM25" i="15"/>
  <c r="BE7" i="15" s="1"/>
  <c r="AL25" i="15"/>
  <c r="AE25" i="15" s="1"/>
  <c r="AF25" i="15" s="1"/>
  <c r="BC24" i="15"/>
  <c r="BD23" i="15" s="1"/>
  <c r="BB24" i="15"/>
  <c r="BD22" i="15" s="1"/>
  <c r="BA24" i="15"/>
  <c r="BD21" i="15" s="1"/>
  <c r="AZ24" i="15"/>
  <c r="AY24" i="15"/>
  <c r="BD19" i="15" s="1"/>
  <c r="AX24" i="15"/>
  <c r="BD18" i="15" s="1"/>
  <c r="AW24" i="15"/>
  <c r="BD17" i="15" s="1"/>
  <c r="AV24" i="15"/>
  <c r="BD16" i="15" s="1"/>
  <c r="AU24" i="15"/>
  <c r="BD15" i="15" s="1"/>
  <c r="AT24" i="15"/>
  <c r="BD14" i="15" s="1"/>
  <c r="AS24" i="15"/>
  <c r="BD13" i="15" s="1"/>
  <c r="AR24" i="15"/>
  <c r="BD12" i="15" s="1"/>
  <c r="AQ24" i="15"/>
  <c r="BD11" i="15" s="1"/>
  <c r="AP24" i="15"/>
  <c r="BD10" i="15" s="1"/>
  <c r="AO24" i="15"/>
  <c r="BD9" i="15" s="1"/>
  <c r="AN24" i="15"/>
  <c r="BD8" i="15" s="1"/>
  <c r="AM24" i="15"/>
  <c r="BD7" i="15" s="1"/>
  <c r="AL24" i="15"/>
  <c r="BD6" i="15" s="1"/>
  <c r="BB23" i="15"/>
  <c r="BC22" i="15" s="1"/>
  <c r="BA23" i="15"/>
  <c r="BC21" i="15" s="1"/>
  <c r="AZ23" i="15"/>
  <c r="AY23" i="15"/>
  <c r="BC19" i="15" s="1"/>
  <c r="AX23" i="15"/>
  <c r="BC18" i="15" s="1"/>
  <c r="AW23" i="15"/>
  <c r="BC17" i="15" s="1"/>
  <c r="AV23" i="15"/>
  <c r="BC16" i="15" s="1"/>
  <c r="AU23" i="15"/>
  <c r="BC15" i="15" s="1"/>
  <c r="AT23" i="15"/>
  <c r="AS23" i="15"/>
  <c r="AR23" i="15"/>
  <c r="BC12" i="15" s="1"/>
  <c r="AQ23" i="15"/>
  <c r="BC11" i="15" s="1"/>
  <c r="AP23" i="15"/>
  <c r="BC10" i="15" s="1"/>
  <c r="AO23" i="15"/>
  <c r="BC9" i="15" s="1"/>
  <c r="AN23" i="15"/>
  <c r="BC8" i="15" s="1"/>
  <c r="AM23" i="15"/>
  <c r="BC7" i="15" s="1"/>
  <c r="AL23" i="15"/>
  <c r="AE23" i="15" s="1"/>
  <c r="AF23" i="15" s="1"/>
  <c r="BA22" i="15"/>
  <c r="BB21" i="15" s="1"/>
  <c r="AZ22" i="15"/>
  <c r="BB20" i="15" s="1"/>
  <c r="AY22" i="15"/>
  <c r="BB19" i="15" s="1"/>
  <c r="AX22" i="15"/>
  <c r="BB18" i="15" s="1"/>
  <c r="AW22" i="15"/>
  <c r="BB17" i="15" s="1"/>
  <c r="AV22" i="15"/>
  <c r="BB16" i="15" s="1"/>
  <c r="AU22" i="15"/>
  <c r="BB15" i="15" s="1"/>
  <c r="AT22" i="15"/>
  <c r="AS22" i="15"/>
  <c r="BB13" i="15" s="1"/>
  <c r="AR22" i="15"/>
  <c r="BB12" i="15" s="1"/>
  <c r="AQ22" i="15"/>
  <c r="AP22" i="15"/>
  <c r="BB10" i="15" s="1"/>
  <c r="AO22" i="15"/>
  <c r="BB9" i="15" s="1"/>
  <c r="AN22" i="15"/>
  <c r="BB8" i="15" s="1"/>
  <c r="AM22" i="15"/>
  <c r="AL22" i="15"/>
  <c r="AE22" i="15" s="1"/>
  <c r="AF22" i="15" s="1"/>
  <c r="AZ21" i="15"/>
  <c r="BA20" i="15" s="1"/>
  <c r="AY21" i="15"/>
  <c r="BA19" i="15" s="1"/>
  <c r="AX21" i="15"/>
  <c r="BA18" i="15" s="1"/>
  <c r="AW21" i="15"/>
  <c r="BA17" i="15" s="1"/>
  <c r="AV21" i="15"/>
  <c r="BA16" i="15" s="1"/>
  <c r="AU21" i="15"/>
  <c r="BA15" i="15" s="1"/>
  <c r="AT21" i="15"/>
  <c r="BA14" i="15" s="1"/>
  <c r="AS21" i="15"/>
  <c r="BA13" i="15" s="1"/>
  <c r="AR21" i="15"/>
  <c r="BA12" i="15" s="1"/>
  <c r="AQ21" i="15"/>
  <c r="BA11" i="15" s="1"/>
  <c r="AP21" i="15"/>
  <c r="BA10" i="15" s="1"/>
  <c r="AO21" i="15"/>
  <c r="BA9" i="15" s="1"/>
  <c r="AN21" i="15"/>
  <c r="BA8" i="15" s="1"/>
  <c r="AM21" i="15"/>
  <c r="BA7" i="15" s="1"/>
  <c r="AL21" i="15"/>
  <c r="BA6" i="15" s="1"/>
  <c r="BF20" i="15"/>
  <c r="BD20" i="15"/>
  <c r="BC20" i="15"/>
  <c r="AY20" i="15"/>
  <c r="AZ19" i="15" s="1"/>
  <c r="AX20" i="15"/>
  <c r="AZ18" i="15" s="1"/>
  <c r="AW20" i="15"/>
  <c r="AZ17" i="15" s="1"/>
  <c r="AV20" i="15"/>
  <c r="AZ16" i="15" s="1"/>
  <c r="AU20" i="15"/>
  <c r="AZ15" i="15" s="1"/>
  <c r="AT20" i="15"/>
  <c r="AS20" i="15"/>
  <c r="AZ13" i="15" s="1"/>
  <c r="AR20" i="15"/>
  <c r="AZ12" i="15" s="1"/>
  <c r="AQ20" i="15"/>
  <c r="AZ11" i="15" s="1"/>
  <c r="AP20" i="15"/>
  <c r="AZ10" i="15" s="1"/>
  <c r="AO20" i="15"/>
  <c r="AZ9" i="15" s="1"/>
  <c r="AN20" i="15"/>
  <c r="AZ8" i="15" s="1"/>
  <c r="AM20" i="15"/>
  <c r="AZ7" i="15" s="1"/>
  <c r="AL20" i="15"/>
  <c r="AE20" i="15" s="1"/>
  <c r="AF20" i="15" s="1"/>
  <c r="AX19" i="15"/>
  <c r="AY18" i="15" s="1"/>
  <c r="AW19" i="15"/>
  <c r="AY17" i="15" s="1"/>
  <c r="AV19" i="15"/>
  <c r="AY16" i="15" s="1"/>
  <c r="AU19" i="15"/>
  <c r="AY15" i="15" s="1"/>
  <c r="AT19" i="15"/>
  <c r="AY14" i="15" s="1"/>
  <c r="AS19" i="15"/>
  <c r="AY13" i="15" s="1"/>
  <c r="AR19" i="15"/>
  <c r="AY12" i="15" s="1"/>
  <c r="AQ19" i="15"/>
  <c r="AY11" i="15" s="1"/>
  <c r="AP19" i="15"/>
  <c r="AY10" i="15" s="1"/>
  <c r="AO19" i="15"/>
  <c r="AY9" i="15" s="1"/>
  <c r="AN19" i="15"/>
  <c r="AY8" i="15" s="1"/>
  <c r="AM19" i="15"/>
  <c r="AY7" i="15" s="1"/>
  <c r="AL19" i="15"/>
  <c r="AE19" i="15" s="1"/>
  <c r="AF19" i="15" s="1"/>
  <c r="AW18" i="15"/>
  <c r="AX17" i="15" s="1"/>
  <c r="AV18" i="15"/>
  <c r="AX16" i="15" s="1"/>
  <c r="AU18" i="15"/>
  <c r="AX15" i="15" s="1"/>
  <c r="AT18" i="15"/>
  <c r="AX14" i="15" s="1"/>
  <c r="AS18" i="15"/>
  <c r="AR18" i="15"/>
  <c r="AX12" i="15" s="1"/>
  <c r="AQ18" i="15"/>
  <c r="AX11" i="15" s="1"/>
  <c r="AP18" i="15"/>
  <c r="AX10" i="15" s="1"/>
  <c r="AO18" i="15"/>
  <c r="AX9" i="15" s="1"/>
  <c r="AN18" i="15"/>
  <c r="AX8" i="15" s="1"/>
  <c r="AM18" i="15"/>
  <c r="AX7" i="15" s="1"/>
  <c r="AL18" i="15"/>
  <c r="AE18" i="15" s="1"/>
  <c r="AF18" i="15" s="1"/>
  <c r="AV17" i="15"/>
  <c r="AW16" i="15" s="1"/>
  <c r="AU17" i="15"/>
  <c r="AW15" i="15" s="1"/>
  <c r="AT17" i="15"/>
  <c r="AW14" i="15" s="1"/>
  <c r="AS17" i="15"/>
  <c r="AW13" i="15" s="1"/>
  <c r="AR17" i="15"/>
  <c r="AW12" i="15" s="1"/>
  <c r="AQ17" i="15"/>
  <c r="AW11" i="15" s="1"/>
  <c r="AP17" i="15"/>
  <c r="AW10" i="15" s="1"/>
  <c r="AO17" i="15"/>
  <c r="AW9" i="15" s="1"/>
  <c r="AN17" i="15"/>
  <c r="AW8" i="15" s="1"/>
  <c r="AM17" i="15"/>
  <c r="AW7" i="15" s="1"/>
  <c r="AL17" i="15"/>
  <c r="AE17" i="15" s="1"/>
  <c r="AF17" i="15" s="1"/>
  <c r="BJ16" i="15"/>
  <c r="BE16" i="15"/>
  <c r="AU16" i="15"/>
  <c r="AV15" i="15" s="1"/>
  <c r="AT16" i="15"/>
  <c r="AV14" i="15" s="1"/>
  <c r="AS16" i="15"/>
  <c r="AV13" i="15" s="1"/>
  <c r="AR16" i="15"/>
  <c r="AQ16" i="15"/>
  <c r="AV11" i="15" s="1"/>
  <c r="AP16" i="15"/>
  <c r="AV10" i="15" s="1"/>
  <c r="AO16" i="15"/>
  <c r="AV9" i="15" s="1"/>
  <c r="AN16" i="15"/>
  <c r="AV8" i="15" s="1"/>
  <c r="AM16" i="15"/>
  <c r="AV7" i="15" s="1"/>
  <c r="AL16" i="15"/>
  <c r="AE16" i="15" s="1"/>
  <c r="AF16" i="15" s="1"/>
  <c r="BJ15" i="15"/>
  <c r="AT15" i="15"/>
  <c r="AU14" i="15" s="1"/>
  <c r="AS15" i="15"/>
  <c r="AU13" i="15" s="1"/>
  <c r="AR15" i="15"/>
  <c r="AU12" i="15" s="1"/>
  <c r="AQ15" i="15"/>
  <c r="AU11" i="15" s="1"/>
  <c r="AP15" i="15"/>
  <c r="AU10" i="15" s="1"/>
  <c r="AO15" i="15"/>
  <c r="AU9" i="15" s="1"/>
  <c r="AN15" i="15"/>
  <c r="AU8" i="15" s="1"/>
  <c r="AM15" i="15"/>
  <c r="AU7" i="15" s="1"/>
  <c r="AL15" i="15"/>
  <c r="AE15" i="15" s="1"/>
  <c r="AF15" i="15" s="1"/>
  <c r="BJ14" i="15"/>
  <c r="BC14" i="15"/>
  <c r="BB14" i="15"/>
  <c r="AZ14" i="15"/>
  <c r="AS14" i="15"/>
  <c r="AT13" i="15" s="1"/>
  <c r="AR14" i="15"/>
  <c r="AT12" i="15" s="1"/>
  <c r="AQ14" i="15"/>
  <c r="AT11" i="15" s="1"/>
  <c r="AP14" i="15"/>
  <c r="AT10" i="15" s="1"/>
  <c r="AO14" i="15"/>
  <c r="AT9" i="15" s="1"/>
  <c r="AN14" i="15"/>
  <c r="AT8" i="15" s="1"/>
  <c r="AM14" i="15"/>
  <c r="AT7" i="15" s="1"/>
  <c r="AL14" i="15"/>
  <c r="AE14" i="15" s="1"/>
  <c r="AF14" i="15" s="1"/>
  <c r="BH13" i="15"/>
  <c r="BF13" i="15"/>
  <c r="BC13" i="15"/>
  <c r="AX13" i="15"/>
  <c r="AR13" i="15"/>
  <c r="AS12" i="15" s="1"/>
  <c r="AQ13" i="15"/>
  <c r="AS11" i="15" s="1"/>
  <c r="AP13" i="15"/>
  <c r="AS10" i="15" s="1"/>
  <c r="AO13" i="15"/>
  <c r="AS9" i="15" s="1"/>
  <c r="AN13" i="15"/>
  <c r="AS8" i="15" s="1"/>
  <c r="AM13" i="15"/>
  <c r="AS7" i="15" s="1"/>
  <c r="AL13" i="15"/>
  <c r="AE13" i="15" s="1"/>
  <c r="AF13" i="15" s="1"/>
  <c r="AV12" i="15"/>
  <c r="AQ12" i="15"/>
  <c r="AR11" i="15" s="1"/>
  <c r="AP12" i="15"/>
  <c r="AR10" i="15" s="1"/>
  <c r="AO12" i="15"/>
  <c r="AR9" i="15" s="1"/>
  <c r="AN12" i="15"/>
  <c r="AR8" i="15" s="1"/>
  <c r="AM12" i="15"/>
  <c r="AR7" i="15" s="1"/>
  <c r="AL12" i="15"/>
  <c r="AE12" i="15" s="1"/>
  <c r="AF12" i="15" s="1"/>
  <c r="BG11" i="15"/>
  <c r="BB11" i="15"/>
  <c r="AP11" i="15"/>
  <c r="AQ10" i="15" s="1"/>
  <c r="AO11" i="15"/>
  <c r="AQ9" i="15" s="1"/>
  <c r="AN11" i="15"/>
  <c r="AQ8" i="15" s="1"/>
  <c r="AM11" i="15"/>
  <c r="AQ7" i="15" s="1"/>
  <c r="AL11" i="15"/>
  <c r="AE11" i="15" s="1"/>
  <c r="AF11" i="15" s="1"/>
  <c r="AO10" i="15"/>
  <c r="AP9" i="15" s="1"/>
  <c r="AN10" i="15"/>
  <c r="AP8" i="15" s="1"/>
  <c r="AM10" i="15"/>
  <c r="AP7" i="15" s="1"/>
  <c r="AL10" i="15"/>
  <c r="AE10" i="15" s="1"/>
  <c r="AF10" i="15" s="1"/>
  <c r="BG9" i="15"/>
  <c r="AN9" i="15"/>
  <c r="AO8" i="15" s="1"/>
  <c r="AM9" i="15"/>
  <c r="AO7" i="15" s="1"/>
  <c r="AL9" i="15"/>
  <c r="AE9" i="15" s="1"/>
  <c r="AF9" i="15" s="1"/>
  <c r="BI8" i="15"/>
  <c r="BG8" i="15"/>
  <c r="BE8" i="15"/>
  <c r="AM8" i="15"/>
  <c r="AN7" i="15" s="1"/>
  <c r="AL8" i="15"/>
  <c r="AN6" i="15" s="1"/>
  <c r="BB7" i="15"/>
  <c r="AL7" i="15"/>
  <c r="AE7" i="15" s="1"/>
  <c r="AF7" i="15" s="1"/>
  <c r="BC6" i="15"/>
  <c r="S11" i="14"/>
  <c r="T11" i="14"/>
  <c r="X7" i="14" s="1"/>
  <c r="U11" i="14"/>
  <c r="X8" i="14" s="1"/>
  <c r="V11" i="14"/>
  <c r="X9" i="14" s="1"/>
  <c r="U9" i="14"/>
  <c r="V8" i="14" s="1"/>
  <c r="T9" i="14"/>
  <c r="V7" i="14" s="1"/>
  <c r="S9" i="14"/>
  <c r="T8" i="14"/>
  <c r="U7" i="14" s="1"/>
  <c r="S8" i="14"/>
  <c r="AA13" i="13"/>
  <c r="AB12" i="13" s="1"/>
  <c r="Z13" i="13"/>
  <c r="AB11" i="13" s="1"/>
  <c r="Y13" i="13"/>
  <c r="AB10" i="13" s="1"/>
  <c r="X13" i="13"/>
  <c r="AB9" i="13" s="1"/>
  <c r="W13" i="13"/>
  <c r="AB8" i="13" s="1"/>
  <c r="V13" i="13"/>
  <c r="AB7" i="13" s="1"/>
  <c r="U13" i="13"/>
  <c r="AC13" i="13" s="1"/>
  <c r="N13" i="13" s="1"/>
  <c r="O13" i="13" s="1"/>
  <c r="Z12" i="13"/>
  <c r="AA11" i="13" s="1"/>
  <c r="Y12" i="13"/>
  <c r="AA10" i="13" s="1"/>
  <c r="X12" i="13"/>
  <c r="AA9" i="13" s="1"/>
  <c r="W12" i="13"/>
  <c r="AA8" i="13" s="1"/>
  <c r="V12" i="13"/>
  <c r="AA7" i="13" s="1"/>
  <c r="U12" i="13"/>
  <c r="AC12" i="13" s="1"/>
  <c r="N12" i="13" s="1"/>
  <c r="O12" i="13" s="1"/>
  <c r="Y11" i="13"/>
  <c r="Z10" i="13" s="1"/>
  <c r="X11" i="13"/>
  <c r="Z9" i="13" s="1"/>
  <c r="W11" i="13"/>
  <c r="Z8" i="13" s="1"/>
  <c r="V11" i="13"/>
  <c r="Z7" i="13" s="1"/>
  <c r="U11" i="13"/>
  <c r="AC11" i="13" s="1"/>
  <c r="N11" i="13" s="1"/>
  <c r="O11" i="13" s="1"/>
  <c r="X10" i="13"/>
  <c r="Y9" i="13" s="1"/>
  <c r="W10" i="13"/>
  <c r="Y8" i="13" s="1"/>
  <c r="V10" i="13"/>
  <c r="Y7" i="13" s="1"/>
  <c r="U10" i="13"/>
  <c r="AC10" i="13" s="1"/>
  <c r="N10" i="13" s="1"/>
  <c r="O10" i="13" s="1"/>
  <c r="W9" i="13"/>
  <c r="X8" i="13" s="1"/>
  <c r="V9" i="13"/>
  <c r="X7" i="13" s="1"/>
  <c r="U9" i="13"/>
  <c r="AC9" i="13" s="1"/>
  <c r="N9" i="13" s="1"/>
  <c r="O9" i="13" s="1"/>
  <c r="V8" i="13"/>
  <c r="W7" i="13" s="1"/>
  <c r="U8" i="13"/>
  <c r="AC8" i="13" s="1"/>
  <c r="N8" i="13" s="1"/>
  <c r="O8" i="13" s="1"/>
  <c r="U7" i="13"/>
  <c r="AC7" i="13" s="1"/>
  <c r="N7" i="13" s="1"/>
  <c r="O7" i="13" s="1"/>
  <c r="BG29" i="12"/>
  <c r="BH28" i="12" s="1"/>
  <c r="BF29" i="12"/>
  <c r="BH27" i="12" s="1"/>
  <c r="BE29" i="12"/>
  <c r="BH26" i="12" s="1"/>
  <c r="BD29" i="12"/>
  <c r="BC29" i="12"/>
  <c r="BH24" i="12" s="1"/>
  <c r="BB29" i="12"/>
  <c r="BA29" i="12"/>
  <c r="BH22" i="12" s="1"/>
  <c r="AZ29" i="12"/>
  <c r="AY29" i="12"/>
  <c r="BH20" i="12" s="1"/>
  <c r="AX29" i="12"/>
  <c r="AW29" i="12"/>
  <c r="BH18" i="12" s="1"/>
  <c r="AV29" i="12"/>
  <c r="BH17" i="12" s="1"/>
  <c r="AU29" i="12"/>
  <c r="BH16" i="12" s="1"/>
  <c r="AT29" i="12"/>
  <c r="AS29" i="12"/>
  <c r="BH14" i="12" s="1"/>
  <c r="AR29" i="12"/>
  <c r="BH13" i="12" s="1"/>
  <c r="AQ29" i="12"/>
  <c r="BH12" i="12" s="1"/>
  <c r="AP29" i="12"/>
  <c r="AO29" i="12"/>
  <c r="BH10" i="12" s="1"/>
  <c r="AN29" i="12"/>
  <c r="BH9" i="12" s="1"/>
  <c r="AM29" i="12"/>
  <c r="AL29" i="12"/>
  <c r="AK29" i="12"/>
  <c r="AD29" i="12" s="1"/>
  <c r="AE29" i="12" s="1"/>
  <c r="BF28" i="12"/>
  <c r="BG27" i="12" s="1"/>
  <c r="BE28" i="12"/>
  <c r="BG26" i="12" s="1"/>
  <c r="BD28" i="12"/>
  <c r="BC28" i="12"/>
  <c r="BG24" i="12" s="1"/>
  <c r="BB28" i="12"/>
  <c r="BG23" i="12" s="1"/>
  <c r="BA28" i="12"/>
  <c r="BG22" i="12" s="1"/>
  <c r="AZ28" i="12"/>
  <c r="AY28" i="12"/>
  <c r="BG20" i="12" s="1"/>
  <c r="AX28" i="12"/>
  <c r="BG19" i="12" s="1"/>
  <c r="AW28" i="12"/>
  <c r="BG18" i="12" s="1"/>
  <c r="AV28" i="12"/>
  <c r="AU28" i="12"/>
  <c r="BG16" i="12" s="1"/>
  <c r="AT28" i="12"/>
  <c r="BG15" i="12" s="1"/>
  <c r="AS28" i="12"/>
  <c r="BG14" i="12" s="1"/>
  <c r="AR28" i="12"/>
  <c r="AQ28" i="12"/>
  <c r="AP28" i="12"/>
  <c r="BG11" i="12" s="1"/>
  <c r="AO28" i="12"/>
  <c r="BG10" i="12" s="1"/>
  <c r="AN28" i="12"/>
  <c r="AM28" i="12"/>
  <c r="BG8" i="12" s="1"/>
  <c r="AL28" i="12"/>
  <c r="BG7" i="12" s="1"/>
  <c r="AK28" i="12"/>
  <c r="AD28" i="12" s="1"/>
  <c r="AE28" i="12" s="1"/>
  <c r="BE27" i="12"/>
  <c r="BF26" i="12" s="1"/>
  <c r="BD27" i="12"/>
  <c r="BF25" i="12" s="1"/>
  <c r="BC27" i="12"/>
  <c r="BF24" i="12" s="1"/>
  <c r="BB27" i="12"/>
  <c r="BA27" i="12"/>
  <c r="BF22" i="12" s="1"/>
  <c r="AZ27" i="12"/>
  <c r="BF21" i="12" s="1"/>
  <c r="AY27" i="12"/>
  <c r="BF20" i="12" s="1"/>
  <c r="AX27" i="12"/>
  <c r="AW27" i="12"/>
  <c r="BF18" i="12" s="1"/>
  <c r="AV27" i="12"/>
  <c r="AU27" i="12"/>
  <c r="BF16" i="12" s="1"/>
  <c r="AT27" i="12"/>
  <c r="AS27" i="12"/>
  <c r="BF14" i="12" s="1"/>
  <c r="AR27" i="12"/>
  <c r="AQ27" i="12"/>
  <c r="BF12" i="12" s="1"/>
  <c r="AP27" i="12"/>
  <c r="AO27" i="12"/>
  <c r="BF10" i="12" s="1"/>
  <c r="AN27" i="12"/>
  <c r="BF9" i="12" s="1"/>
  <c r="AM27" i="12"/>
  <c r="BF8" i="12" s="1"/>
  <c r="AL27" i="12"/>
  <c r="AK27" i="12"/>
  <c r="AD27" i="12" s="1"/>
  <c r="AE27" i="12" s="1"/>
  <c r="BD26" i="12"/>
  <c r="BE25" i="12" s="1"/>
  <c r="BC26" i="12"/>
  <c r="BE24" i="12" s="1"/>
  <c r="BB26" i="12"/>
  <c r="BA26" i="12"/>
  <c r="AZ26" i="12"/>
  <c r="BE21" i="12" s="1"/>
  <c r="AY26" i="12"/>
  <c r="BE20" i="12" s="1"/>
  <c r="AX26" i="12"/>
  <c r="AW26" i="12"/>
  <c r="AV26" i="12"/>
  <c r="BE17" i="12" s="1"/>
  <c r="AU26" i="12"/>
  <c r="AT26" i="12"/>
  <c r="AS26" i="12"/>
  <c r="AR26" i="12"/>
  <c r="BE13" i="12" s="1"/>
  <c r="AQ26" i="12"/>
  <c r="BE12" i="12" s="1"/>
  <c r="AP26" i="12"/>
  <c r="AO26" i="12"/>
  <c r="AN26" i="12"/>
  <c r="AM26" i="12"/>
  <c r="AL26" i="12"/>
  <c r="AK26" i="12"/>
  <c r="AD26" i="12" s="1"/>
  <c r="AE26" i="12" s="1"/>
  <c r="BH25" i="12"/>
  <c r="BG25" i="12"/>
  <c r="BC25" i="12"/>
  <c r="BD24" i="12" s="1"/>
  <c r="BB25" i="12"/>
  <c r="BD23" i="12" s="1"/>
  <c r="BA25" i="12"/>
  <c r="BD22" i="12" s="1"/>
  <c r="AZ25" i="12"/>
  <c r="AY25" i="12"/>
  <c r="BD20" i="12" s="1"/>
  <c r="AX25" i="12"/>
  <c r="AW25" i="12"/>
  <c r="BD18" i="12" s="1"/>
  <c r="AV25" i="12"/>
  <c r="AU25" i="12"/>
  <c r="BD16" i="12" s="1"/>
  <c r="AT25" i="12"/>
  <c r="AS25" i="12"/>
  <c r="BD14" i="12" s="1"/>
  <c r="AR25" i="12"/>
  <c r="BD13" i="12" s="1"/>
  <c r="AQ25" i="12"/>
  <c r="BD12" i="12" s="1"/>
  <c r="AP25" i="12"/>
  <c r="AO25" i="12"/>
  <c r="BD10" i="12" s="1"/>
  <c r="AN25" i="12"/>
  <c r="BD9" i="12" s="1"/>
  <c r="AM25" i="12"/>
  <c r="AL25" i="12"/>
  <c r="AK25" i="12"/>
  <c r="AD25" i="12" s="1"/>
  <c r="AE25" i="12" s="1"/>
  <c r="BB24" i="12"/>
  <c r="BC23" i="12" s="1"/>
  <c r="BA24" i="12"/>
  <c r="BC22" i="12" s="1"/>
  <c r="AZ24" i="12"/>
  <c r="AY24" i="12"/>
  <c r="AX24" i="12"/>
  <c r="BC19" i="12" s="1"/>
  <c r="AW24" i="12"/>
  <c r="BC18" i="12" s="1"/>
  <c r="AV24" i="12"/>
  <c r="AU24" i="12"/>
  <c r="BC16" i="12" s="1"/>
  <c r="AT24" i="12"/>
  <c r="BC15" i="12" s="1"/>
  <c r="AS24" i="12"/>
  <c r="BC14" i="12" s="1"/>
  <c r="AR24" i="12"/>
  <c r="AQ24" i="12"/>
  <c r="AP24" i="12"/>
  <c r="BC11" i="12" s="1"/>
  <c r="AO24" i="12"/>
  <c r="BC10" i="12" s="1"/>
  <c r="AN24" i="12"/>
  <c r="AM24" i="12"/>
  <c r="BC8" i="12" s="1"/>
  <c r="AL24" i="12"/>
  <c r="BC7" i="12" s="1"/>
  <c r="AK24" i="12"/>
  <c r="AD24" i="12" s="1"/>
  <c r="AE24" i="12" s="1"/>
  <c r="BH23" i="12"/>
  <c r="BF23" i="12"/>
  <c r="BE23" i="12"/>
  <c r="BA23" i="12"/>
  <c r="BB22" i="12" s="1"/>
  <c r="AZ23" i="12"/>
  <c r="BB21" i="12" s="1"/>
  <c r="AY23" i="12"/>
  <c r="BB20" i="12" s="1"/>
  <c r="AX23" i="12"/>
  <c r="AW23" i="12"/>
  <c r="BB18" i="12" s="1"/>
  <c r="AV23" i="12"/>
  <c r="BB17" i="12" s="1"/>
  <c r="AU23" i="12"/>
  <c r="BB16" i="12" s="1"/>
  <c r="AT23" i="12"/>
  <c r="BB15" i="12" s="1"/>
  <c r="AS23" i="12"/>
  <c r="BB14" i="12" s="1"/>
  <c r="AR23" i="12"/>
  <c r="BB13" i="12" s="1"/>
  <c r="AQ23" i="12"/>
  <c r="BB12" i="12" s="1"/>
  <c r="AP23" i="12"/>
  <c r="AO23" i="12"/>
  <c r="BB10" i="12" s="1"/>
  <c r="AN23" i="12"/>
  <c r="BB9" i="12" s="1"/>
  <c r="AM23" i="12"/>
  <c r="BB8" i="12" s="1"/>
  <c r="AL23" i="12"/>
  <c r="AK23" i="12"/>
  <c r="AD23" i="12" s="1"/>
  <c r="AE23" i="12" s="1"/>
  <c r="BE22" i="12"/>
  <c r="AZ22" i="12"/>
  <c r="BA21" i="12" s="1"/>
  <c r="AY22" i="12"/>
  <c r="BA20" i="12" s="1"/>
  <c r="AX22" i="12"/>
  <c r="AW22" i="12"/>
  <c r="AV22" i="12"/>
  <c r="BA17" i="12" s="1"/>
  <c r="AU22" i="12"/>
  <c r="BA16" i="12" s="1"/>
  <c r="AT22" i="12"/>
  <c r="AS22" i="12"/>
  <c r="AR22" i="12"/>
  <c r="BA13" i="12" s="1"/>
  <c r="AQ22" i="12"/>
  <c r="BA12" i="12" s="1"/>
  <c r="AP22" i="12"/>
  <c r="AO22" i="12"/>
  <c r="BA10" i="12" s="1"/>
  <c r="AN22" i="12"/>
  <c r="BA9" i="12" s="1"/>
  <c r="AM22" i="12"/>
  <c r="BA8" i="12" s="1"/>
  <c r="AL22" i="12"/>
  <c r="AK22" i="12"/>
  <c r="AD22" i="12" s="1"/>
  <c r="AE22" i="12" s="1"/>
  <c r="BH21" i="12"/>
  <c r="BG21" i="12"/>
  <c r="BD21" i="12"/>
  <c r="BC21" i="12"/>
  <c r="AY21" i="12"/>
  <c r="AZ20" i="12" s="1"/>
  <c r="AX21" i="12"/>
  <c r="AZ19" i="12" s="1"/>
  <c r="AW21" i="12"/>
  <c r="AV21" i="12"/>
  <c r="AZ17" i="12" s="1"/>
  <c r="AU21" i="12"/>
  <c r="AZ16" i="12" s="1"/>
  <c r="AT21" i="12"/>
  <c r="AS21" i="12"/>
  <c r="AR21" i="12"/>
  <c r="AZ13" i="12" s="1"/>
  <c r="AQ21" i="12"/>
  <c r="AZ12" i="12" s="1"/>
  <c r="AP21" i="12"/>
  <c r="AZ11" i="12" s="1"/>
  <c r="AO21" i="12"/>
  <c r="AN21" i="12"/>
  <c r="AM21" i="12"/>
  <c r="AL21" i="12"/>
  <c r="AZ7" i="12" s="1"/>
  <c r="AK21" i="12"/>
  <c r="AD21" i="12" s="1"/>
  <c r="AE21" i="12" s="1"/>
  <c r="BC20" i="12"/>
  <c r="AX20" i="12"/>
  <c r="AY19" i="12" s="1"/>
  <c r="AW20" i="12"/>
  <c r="AY18" i="12" s="1"/>
  <c r="AV20" i="12"/>
  <c r="AY17" i="12" s="1"/>
  <c r="AU20" i="12"/>
  <c r="AY16" i="12" s="1"/>
  <c r="AT20" i="12"/>
  <c r="AY15" i="12" s="1"/>
  <c r="AS20" i="12"/>
  <c r="AR20" i="12"/>
  <c r="AY13" i="12" s="1"/>
  <c r="AQ20" i="12"/>
  <c r="AY12" i="12" s="1"/>
  <c r="AP20" i="12"/>
  <c r="AY11" i="12" s="1"/>
  <c r="AO20" i="12"/>
  <c r="AN20" i="12"/>
  <c r="AY9" i="12" s="1"/>
  <c r="AM20" i="12"/>
  <c r="AL20" i="12"/>
  <c r="AK20" i="12"/>
  <c r="AD20" i="12" s="1"/>
  <c r="AE20" i="12" s="1"/>
  <c r="AD19" i="12"/>
  <c r="AE19" i="12" s="1"/>
  <c r="BH19" i="12"/>
  <c r="BF19" i="12"/>
  <c r="BE19" i="12"/>
  <c r="BD19" i="12"/>
  <c r="BB19" i="12"/>
  <c r="BA19" i="12"/>
  <c r="AW19" i="12"/>
  <c r="AX18" i="12" s="1"/>
  <c r="AV19" i="12"/>
  <c r="AX17" i="12" s="1"/>
  <c r="AU19" i="12"/>
  <c r="AT19" i="12"/>
  <c r="AX15" i="12" s="1"/>
  <c r="AS19" i="12"/>
  <c r="AX14" i="12" s="1"/>
  <c r="AR19" i="12"/>
  <c r="AX13" i="12" s="1"/>
  <c r="AQ19" i="12"/>
  <c r="AX12" i="12" s="1"/>
  <c r="AP19" i="12"/>
  <c r="AX11" i="12" s="1"/>
  <c r="AO19" i="12"/>
  <c r="AX10" i="12" s="1"/>
  <c r="AN19" i="12"/>
  <c r="AX9" i="12" s="1"/>
  <c r="AM19" i="12"/>
  <c r="AX8" i="12" s="1"/>
  <c r="AL19" i="12"/>
  <c r="AX7" i="12" s="1"/>
  <c r="AK19" i="12"/>
  <c r="BE18" i="12"/>
  <c r="BA18" i="12"/>
  <c r="AZ18" i="12"/>
  <c r="AV18" i="12"/>
  <c r="AW17" i="12" s="1"/>
  <c r="AU18" i="12"/>
  <c r="AW16" i="12" s="1"/>
  <c r="AT18" i="12"/>
  <c r="AW15" i="12" s="1"/>
  <c r="AS18" i="12"/>
  <c r="AR18" i="12"/>
  <c r="AW13" i="12" s="1"/>
  <c r="AQ18" i="12"/>
  <c r="AW12" i="12" s="1"/>
  <c r="AP18" i="12"/>
  <c r="AW11" i="12" s="1"/>
  <c r="AO18" i="12"/>
  <c r="AN18" i="12"/>
  <c r="AM18" i="12"/>
  <c r="AW8" i="12" s="1"/>
  <c r="AL18" i="12"/>
  <c r="AK18" i="12"/>
  <c r="AD18" i="12" s="1"/>
  <c r="AE18" i="12" s="1"/>
  <c r="BG17" i="12"/>
  <c r="BF17" i="12"/>
  <c r="BD17" i="12"/>
  <c r="BC17" i="12"/>
  <c r="AU17" i="12"/>
  <c r="AV16" i="12" s="1"/>
  <c r="AT17" i="12"/>
  <c r="AV15" i="12" s="1"/>
  <c r="AS17" i="12"/>
  <c r="AR17" i="12"/>
  <c r="AQ17" i="12"/>
  <c r="AV12" i="12" s="1"/>
  <c r="AP17" i="12"/>
  <c r="AV11" i="12" s="1"/>
  <c r="AO17" i="12"/>
  <c r="AN17" i="12"/>
  <c r="AM17" i="12"/>
  <c r="AV8" i="12" s="1"/>
  <c r="AL17" i="12"/>
  <c r="AV7" i="12" s="1"/>
  <c r="AK17" i="12"/>
  <c r="AD17" i="12" s="1"/>
  <c r="AE17" i="12" s="1"/>
  <c r="BE16" i="12"/>
  <c r="AX16" i="12"/>
  <c r="AT16" i="12"/>
  <c r="AU15" i="12" s="1"/>
  <c r="AS16" i="12"/>
  <c r="AU14" i="12" s="1"/>
  <c r="AR16" i="12"/>
  <c r="AU13" i="12" s="1"/>
  <c r="AQ16" i="12"/>
  <c r="AP16" i="12"/>
  <c r="AU11" i="12" s="1"/>
  <c r="AO16" i="12"/>
  <c r="AU10" i="12" s="1"/>
  <c r="AN16" i="12"/>
  <c r="AU9" i="12" s="1"/>
  <c r="AM16" i="12"/>
  <c r="AL16" i="12"/>
  <c r="AU7" i="12" s="1"/>
  <c r="AK16" i="12"/>
  <c r="AU6" i="12" s="1"/>
  <c r="BH15" i="12"/>
  <c r="BF15" i="12"/>
  <c r="BE15" i="12"/>
  <c r="BD15" i="12"/>
  <c r="BA15" i="12"/>
  <c r="AZ15" i="12"/>
  <c r="AS15" i="12"/>
  <c r="AT14" i="12" s="1"/>
  <c r="AR15" i="12"/>
  <c r="AT13" i="12" s="1"/>
  <c r="AQ15" i="12"/>
  <c r="AT12" i="12" s="1"/>
  <c r="AP15" i="12"/>
  <c r="AT11" i="12" s="1"/>
  <c r="AO15" i="12"/>
  <c r="AN15" i="12"/>
  <c r="AT9" i="12" s="1"/>
  <c r="AM15" i="12"/>
  <c r="AT8" i="12" s="1"/>
  <c r="AL15" i="12"/>
  <c r="AK15" i="12"/>
  <c r="AD15" i="12" s="1"/>
  <c r="AE15" i="12" s="1"/>
  <c r="BE14" i="12"/>
  <c r="BA14" i="12"/>
  <c r="AZ14" i="12"/>
  <c r="AY14" i="12"/>
  <c r="AW14" i="12"/>
  <c r="AV14" i="12"/>
  <c r="AR14" i="12"/>
  <c r="AS13" i="12" s="1"/>
  <c r="AQ14" i="12"/>
  <c r="AS12" i="12" s="1"/>
  <c r="AP14" i="12"/>
  <c r="AO14" i="12"/>
  <c r="AS10" i="12" s="1"/>
  <c r="AN14" i="12"/>
  <c r="AS9" i="12" s="1"/>
  <c r="AM14" i="12"/>
  <c r="AL14" i="12"/>
  <c r="AK14" i="12"/>
  <c r="AD14" i="12" s="1"/>
  <c r="AE14" i="12" s="1"/>
  <c r="BG13" i="12"/>
  <c r="BF13" i="12"/>
  <c r="BC13" i="12"/>
  <c r="AV13" i="12"/>
  <c r="AQ13" i="12"/>
  <c r="AR12" i="12" s="1"/>
  <c r="AP13" i="12"/>
  <c r="AR11" i="12" s="1"/>
  <c r="AO13" i="12"/>
  <c r="AR10" i="12" s="1"/>
  <c r="AN13" i="12"/>
  <c r="AM13" i="12"/>
  <c r="AL13" i="12"/>
  <c r="AR7" i="12" s="1"/>
  <c r="AK13" i="12"/>
  <c r="AD13" i="12" s="1"/>
  <c r="AE13" i="12" s="1"/>
  <c r="BG12" i="12"/>
  <c r="BC12" i="12"/>
  <c r="AU12" i="12"/>
  <c r="AP12" i="12"/>
  <c r="AQ11" i="12" s="1"/>
  <c r="AO12" i="12"/>
  <c r="AQ10" i="12" s="1"/>
  <c r="AN12" i="12"/>
  <c r="AQ9" i="12" s="1"/>
  <c r="AM12" i="12"/>
  <c r="AL12" i="12"/>
  <c r="AK12" i="12"/>
  <c r="AD12" i="12" s="1"/>
  <c r="AE12" i="12" s="1"/>
  <c r="BH11" i="12"/>
  <c r="BF11" i="12"/>
  <c r="BE11" i="12"/>
  <c r="BD11" i="12"/>
  <c r="BB11" i="12"/>
  <c r="BA11" i="12"/>
  <c r="AS11" i="12"/>
  <c r="AO11" i="12"/>
  <c r="AP10" i="12" s="1"/>
  <c r="AN11" i="12"/>
  <c r="AP9" i="12" s="1"/>
  <c r="AM11" i="12"/>
  <c r="AL11" i="12"/>
  <c r="AK11" i="12"/>
  <c r="AD11" i="12" s="1"/>
  <c r="AE11" i="12" s="1"/>
  <c r="BE10" i="12"/>
  <c r="AZ10" i="12"/>
  <c r="AY10" i="12"/>
  <c r="AW10" i="12"/>
  <c r="AV10" i="12"/>
  <c r="AT10" i="12"/>
  <c r="AN10" i="12"/>
  <c r="AO9" i="12" s="1"/>
  <c r="AM10" i="12"/>
  <c r="AO8" i="12" s="1"/>
  <c r="AL10" i="12"/>
  <c r="AK10" i="12"/>
  <c r="AD10" i="12"/>
  <c r="AE10" i="12" s="1"/>
  <c r="BG9" i="12"/>
  <c r="BE9" i="12"/>
  <c r="BC9" i="12"/>
  <c r="AZ9" i="12"/>
  <c r="AW9" i="12"/>
  <c r="AV9" i="12"/>
  <c r="AR9" i="12"/>
  <c r="AM9" i="12"/>
  <c r="AN8" i="12" s="1"/>
  <c r="AL9" i="12"/>
  <c r="AN7" i="12" s="1"/>
  <c r="AK9" i="12"/>
  <c r="AD9" i="12" s="1"/>
  <c r="AE9" i="12" s="1"/>
  <c r="BH8" i="12"/>
  <c r="BE8" i="12"/>
  <c r="BD8" i="12"/>
  <c r="AZ8" i="12"/>
  <c r="AY8" i="12"/>
  <c r="AU8" i="12"/>
  <c r="AS8" i="12"/>
  <c r="AR8" i="12"/>
  <c r="AQ8" i="12"/>
  <c r="AP8" i="12"/>
  <c r="AL8" i="12"/>
  <c r="AM7" i="12" s="1"/>
  <c r="AK8" i="12"/>
  <c r="AD8" i="12" s="1"/>
  <c r="AE8" i="12" s="1"/>
  <c r="BH7" i="12"/>
  <c r="BF7" i="12"/>
  <c r="BE7" i="12"/>
  <c r="BD7" i="12"/>
  <c r="BB7" i="12"/>
  <c r="BA7" i="12"/>
  <c r="AY7" i="12"/>
  <c r="AW7" i="12"/>
  <c r="AT7" i="12"/>
  <c r="AS7" i="12"/>
  <c r="AQ7" i="12"/>
  <c r="AP7" i="12"/>
  <c r="AO7" i="12"/>
  <c r="AK7" i="12"/>
  <c r="AL6" i="12" s="1"/>
  <c r="AD6" i="12" s="1"/>
  <c r="AE6" i="12" s="1"/>
  <c r="BF6" i="12"/>
  <c r="BE6" i="12"/>
  <c r="BB6" i="12"/>
  <c r="AZ6" i="12"/>
  <c r="AY6" i="12"/>
  <c r="AX6" i="12"/>
  <c r="AW6" i="12"/>
  <c r="AV6" i="12"/>
  <c r="AT6" i="12"/>
  <c r="AR6" i="12"/>
  <c r="AQ6" i="12"/>
  <c r="AO6" i="12"/>
  <c r="AE15" i="11"/>
  <c r="AF14" i="11" s="1"/>
  <c r="AD15" i="11"/>
  <c r="AF13" i="11" s="1"/>
  <c r="AC15" i="11"/>
  <c r="AF12" i="11" s="1"/>
  <c r="AB15" i="11"/>
  <c r="AF11" i="11" s="1"/>
  <c r="AA15" i="11"/>
  <c r="Z15" i="11"/>
  <c r="AF9" i="11" s="1"/>
  <c r="Y15" i="11"/>
  <c r="AF8" i="11" s="1"/>
  <c r="X15" i="11"/>
  <c r="AF7" i="11" s="1"/>
  <c r="W15" i="11"/>
  <c r="AG15" i="11" s="1"/>
  <c r="P15" i="11" s="1"/>
  <c r="Q15" i="11" s="1"/>
  <c r="AD14" i="11"/>
  <c r="AE13" i="11" s="1"/>
  <c r="AC14" i="11"/>
  <c r="AE12" i="11" s="1"/>
  <c r="AB14" i="11"/>
  <c r="AE11" i="11" s="1"/>
  <c r="AA14" i="11"/>
  <c r="AE10" i="11" s="1"/>
  <c r="Z14" i="11"/>
  <c r="AE9" i="11" s="1"/>
  <c r="Y14" i="11"/>
  <c r="AE8" i="11" s="1"/>
  <c r="X14" i="11"/>
  <c r="W14" i="11"/>
  <c r="AG14" i="11" s="1"/>
  <c r="P14" i="11" s="1"/>
  <c r="Q14" i="11" s="1"/>
  <c r="AC13" i="11"/>
  <c r="AD12" i="11" s="1"/>
  <c r="AB13" i="11"/>
  <c r="AD11" i="11" s="1"/>
  <c r="AA13" i="11"/>
  <c r="AD10" i="11" s="1"/>
  <c r="Z13" i="11"/>
  <c r="AD9" i="11" s="1"/>
  <c r="Y13" i="11"/>
  <c r="AD8" i="11" s="1"/>
  <c r="X13" i="11"/>
  <c r="AD7" i="11" s="1"/>
  <c r="W13" i="11"/>
  <c r="AG13" i="11" s="1"/>
  <c r="P13" i="11" s="1"/>
  <c r="Q13" i="11" s="1"/>
  <c r="AB12" i="11"/>
  <c r="AC11" i="11" s="1"/>
  <c r="AA12" i="11"/>
  <c r="AC10" i="11" s="1"/>
  <c r="Z12" i="11"/>
  <c r="AC9" i="11" s="1"/>
  <c r="Y12" i="11"/>
  <c r="AC8" i="11" s="1"/>
  <c r="X12" i="11"/>
  <c r="AC7" i="11" s="1"/>
  <c r="W12" i="11"/>
  <c r="AG12" i="11" s="1"/>
  <c r="P12" i="11" s="1"/>
  <c r="Q12" i="11" s="1"/>
  <c r="AA11" i="11"/>
  <c r="AB10" i="11" s="1"/>
  <c r="Z11" i="11"/>
  <c r="AB9" i="11" s="1"/>
  <c r="Y11" i="11"/>
  <c r="AB8" i="11" s="1"/>
  <c r="X11" i="11"/>
  <c r="AB7" i="11" s="1"/>
  <c r="W11" i="11"/>
  <c r="AG11" i="11" s="1"/>
  <c r="P11" i="11" s="1"/>
  <c r="Q11" i="11" s="1"/>
  <c r="Z10" i="11"/>
  <c r="AA9" i="11" s="1"/>
  <c r="Y10" i="11"/>
  <c r="AA8" i="11" s="1"/>
  <c r="X10" i="11"/>
  <c r="AA7" i="11" s="1"/>
  <c r="W10" i="11"/>
  <c r="AG10" i="11" s="1"/>
  <c r="P10" i="11" s="1"/>
  <c r="Q10" i="11" s="1"/>
  <c r="Y9" i="11"/>
  <c r="Z8" i="11" s="1"/>
  <c r="X9" i="11"/>
  <c r="Z7" i="11" s="1"/>
  <c r="W9" i="11"/>
  <c r="P9" i="11" s="1"/>
  <c r="Q9" i="11" s="1"/>
  <c r="X8" i="11"/>
  <c r="Y7" i="11" s="1"/>
  <c r="W8" i="11"/>
  <c r="Y6" i="11" s="1"/>
  <c r="AE7" i="11"/>
  <c r="W7" i="11"/>
  <c r="AG7" i="11" s="1"/>
  <c r="P7" i="11" s="1"/>
  <c r="Q7" i="11" s="1"/>
  <c r="AA6" i="11"/>
  <c r="BJ36" i="10"/>
  <c r="BV24" i="10" s="1"/>
  <c r="BK36" i="10"/>
  <c r="BV25" i="10" s="1"/>
  <c r="BL36" i="10"/>
  <c r="BV26" i="10" s="1"/>
  <c r="BM36" i="10"/>
  <c r="BV27" i="10" s="1"/>
  <c r="BN36" i="10"/>
  <c r="BV28" i="10" s="1"/>
  <c r="BO36" i="10"/>
  <c r="BV29" i="10" s="1"/>
  <c r="BP36" i="10"/>
  <c r="BV30" i="10" s="1"/>
  <c r="BQ36" i="10"/>
  <c r="BV31" i="10" s="1"/>
  <c r="BR36" i="10"/>
  <c r="BV32" i="10" s="1"/>
  <c r="BS36" i="10"/>
  <c r="BV33" i="10" s="1"/>
  <c r="BT36" i="10"/>
  <c r="BV34" i="10" s="1"/>
  <c r="BJ34" i="10"/>
  <c r="BT24" i="10" s="1"/>
  <c r="BK34" i="10"/>
  <c r="BT25" i="10" s="1"/>
  <c r="BL34" i="10"/>
  <c r="BT26" i="10" s="1"/>
  <c r="BM34" i="10"/>
  <c r="BT27" i="10" s="1"/>
  <c r="BN34" i="10"/>
  <c r="BT28" i="10" s="1"/>
  <c r="BO34" i="10"/>
  <c r="BT29" i="10" s="1"/>
  <c r="BP34" i="10"/>
  <c r="BT30" i="10" s="1"/>
  <c r="BQ34" i="10"/>
  <c r="BT31" i="10" s="1"/>
  <c r="BR34" i="10"/>
  <c r="BT32" i="10" s="1"/>
  <c r="BS34" i="10"/>
  <c r="BT33" i="10" s="1"/>
  <c r="BJ33" i="10"/>
  <c r="BS24" i="10" s="1"/>
  <c r="BK33" i="10"/>
  <c r="BS25" i="10" s="1"/>
  <c r="BL33" i="10"/>
  <c r="BS26" i="10" s="1"/>
  <c r="BM33" i="10"/>
  <c r="BS27" i="10" s="1"/>
  <c r="BN33" i="10"/>
  <c r="BS28" i="10" s="1"/>
  <c r="BO33" i="10"/>
  <c r="BS29" i="10" s="1"/>
  <c r="BP33" i="10"/>
  <c r="BS30" i="10" s="1"/>
  <c r="BQ33" i="10"/>
  <c r="BS31" i="10" s="1"/>
  <c r="BR33" i="10"/>
  <c r="BS32" i="10" s="1"/>
  <c r="BJ32" i="10"/>
  <c r="BR24" i="10" s="1"/>
  <c r="BK32" i="10"/>
  <c r="BR25" i="10" s="1"/>
  <c r="BL32" i="10"/>
  <c r="BR26" i="10" s="1"/>
  <c r="BM32" i="10"/>
  <c r="BR27" i="10" s="1"/>
  <c r="BN32" i="10"/>
  <c r="BR28" i="10" s="1"/>
  <c r="BO32" i="10"/>
  <c r="BR29" i="10" s="1"/>
  <c r="BP32" i="10"/>
  <c r="BR30" i="10" s="1"/>
  <c r="BQ32" i="10"/>
  <c r="BR31" i="10" s="1"/>
  <c r="BJ31" i="10"/>
  <c r="BQ24" i="10" s="1"/>
  <c r="BK31" i="10"/>
  <c r="BQ25" i="10" s="1"/>
  <c r="BL31" i="10"/>
  <c r="BQ26" i="10" s="1"/>
  <c r="BM31" i="10"/>
  <c r="BQ27" i="10" s="1"/>
  <c r="BN31" i="10"/>
  <c r="BQ28" i="10" s="1"/>
  <c r="BO31" i="10"/>
  <c r="BQ29" i="10" s="1"/>
  <c r="BP31" i="10"/>
  <c r="BQ30" i="10" s="1"/>
  <c r="BJ30" i="10"/>
  <c r="BP24" i="10" s="1"/>
  <c r="BK30" i="10"/>
  <c r="BP25" i="10" s="1"/>
  <c r="BL30" i="10"/>
  <c r="BP26" i="10" s="1"/>
  <c r="BM30" i="10"/>
  <c r="BP27" i="10" s="1"/>
  <c r="BN30" i="10"/>
  <c r="BP28" i="10" s="1"/>
  <c r="BO30" i="10"/>
  <c r="BP29" i="10" s="1"/>
  <c r="BJ29" i="10"/>
  <c r="BO24" i="10" s="1"/>
  <c r="BK29" i="10"/>
  <c r="BO25" i="10" s="1"/>
  <c r="BL29" i="10"/>
  <c r="BO26" i="10" s="1"/>
  <c r="BM29" i="10"/>
  <c r="BO27" i="10" s="1"/>
  <c r="BN29" i="10"/>
  <c r="BO28" i="10" s="1"/>
  <c r="BJ28" i="10"/>
  <c r="BN24" i="10" s="1"/>
  <c r="BK28" i="10"/>
  <c r="BN25" i="10" s="1"/>
  <c r="BL28" i="10"/>
  <c r="BN26" i="10" s="1"/>
  <c r="BM28" i="10"/>
  <c r="BN27" i="10" s="1"/>
  <c r="BJ27" i="10"/>
  <c r="BM24" i="10" s="1"/>
  <c r="BK27" i="10"/>
  <c r="BM25" i="10" s="1"/>
  <c r="BL27" i="10"/>
  <c r="BM26" i="10" s="1"/>
  <c r="BJ26" i="10"/>
  <c r="BL24" i="10" s="1"/>
  <c r="BK26" i="10"/>
  <c r="BL25" i="10" s="1"/>
  <c r="AR26" i="10"/>
  <c r="AS26" i="10"/>
  <c r="BL7" i="10" s="1"/>
  <c r="AT26" i="10"/>
  <c r="BL8" i="10" s="1"/>
  <c r="AU26" i="10"/>
  <c r="BL9" i="10" s="1"/>
  <c r="AV26" i="10"/>
  <c r="BL10" i="10" s="1"/>
  <c r="AW26" i="10"/>
  <c r="BL11" i="10" s="1"/>
  <c r="AX26" i="10"/>
  <c r="BL12" i="10" s="1"/>
  <c r="AY26" i="10"/>
  <c r="BL13" i="10" s="1"/>
  <c r="AZ26" i="10"/>
  <c r="BL14" i="10" s="1"/>
  <c r="BA26" i="10"/>
  <c r="BL15" i="10" s="1"/>
  <c r="BB26" i="10"/>
  <c r="BL16" i="10" s="1"/>
  <c r="BC26" i="10"/>
  <c r="BL17" i="10" s="1"/>
  <c r="BD26" i="10"/>
  <c r="BL18" i="10" s="1"/>
  <c r="BE26" i="10"/>
  <c r="BL19" i="10" s="1"/>
  <c r="BF26" i="10"/>
  <c r="BL20" i="10" s="1"/>
  <c r="BG26" i="10"/>
  <c r="BL21" i="10" s="1"/>
  <c r="BH26" i="10"/>
  <c r="BL22" i="10" s="1"/>
  <c r="BI26" i="10"/>
  <c r="BL23" i="10" s="1"/>
  <c r="AR27" i="10"/>
  <c r="AS27" i="10"/>
  <c r="BM7" i="10" s="1"/>
  <c r="AT27" i="10"/>
  <c r="BM8" i="10" s="1"/>
  <c r="AU27" i="10"/>
  <c r="BM9" i="10" s="1"/>
  <c r="AV27" i="10"/>
  <c r="BM10" i="10" s="1"/>
  <c r="AW27" i="10"/>
  <c r="BM11" i="10" s="1"/>
  <c r="AX27" i="10"/>
  <c r="BM12" i="10" s="1"/>
  <c r="AY27" i="10"/>
  <c r="BM13" i="10" s="1"/>
  <c r="AZ27" i="10"/>
  <c r="BA27" i="10"/>
  <c r="BM15" i="10" s="1"/>
  <c r="BB27" i="10"/>
  <c r="BM16" i="10" s="1"/>
  <c r="BC27" i="10"/>
  <c r="BM17" i="10" s="1"/>
  <c r="BD27" i="10"/>
  <c r="BM18" i="10" s="1"/>
  <c r="BE27" i="10"/>
  <c r="BM19" i="10" s="1"/>
  <c r="BF27" i="10"/>
  <c r="BM20" i="10" s="1"/>
  <c r="BG27" i="10"/>
  <c r="BM21" i="10" s="1"/>
  <c r="BH27" i="10"/>
  <c r="BM22" i="10" s="1"/>
  <c r="BI27" i="10"/>
  <c r="BM23" i="10" s="1"/>
  <c r="AR28" i="10"/>
  <c r="AS28" i="10"/>
  <c r="BN7" i="10" s="1"/>
  <c r="AT28" i="10"/>
  <c r="BN8" i="10" s="1"/>
  <c r="AU28" i="10"/>
  <c r="BN9" i="10" s="1"/>
  <c r="AV28" i="10"/>
  <c r="BN10" i="10" s="1"/>
  <c r="AW28" i="10"/>
  <c r="BN11" i="10" s="1"/>
  <c r="AX28" i="10"/>
  <c r="BN12" i="10" s="1"/>
  <c r="AY28" i="10"/>
  <c r="BN13" i="10" s="1"/>
  <c r="AZ28" i="10"/>
  <c r="BN14" i="10" s="1"/>
  <c r="BA28" i="10"/>
  <c r="BN15" i="10" s="1"/>
  <c r="BB28" i="10"/>
  <c r="BN16" i="10" s="1"/>
  <c r="BC28" i="10"/>
  <c r="BN17" i="10" s="1"/>
  <c r="BD28" i="10"/>
  <c r="BN18" i="10" s="1"/>
  <c r="BE28" i="10"/>
  <c r="BN19" i="10" s="1"/>
  <c r="BF28" i="10"/>
  <c r="BN20" i="10" s="1"/>
  <c r="BG28" i="10"/>
  <c r="BN21" i="10" s="1"/>
  <c r="BH28" i="10"/>
  <c r="BN22" i="10" s="1"/>
  <c r="BI28" i="10"/>
  <c r="BN23" i="10" s="1"/>
  <c r="AR29" i="10"/>
  <c r="AS29" i="10"/>
  <c r="BO7" i="10" s="1"/>
  <c r="AT29" i="10"/>
  <c r="BO8" i="10" s="1"/>
  <c r="AU29" i="10"/>
  <c r="BO9" i="10" s="1"/>
  <c r="AV29" i="10"/>
  <c r="BO10" i="10" s="1"/>
  <c r="AW29" i="10"/>
  <c r="BO11" i="10" s="1"/>
  <c r="AX29" i="10"/>
  <c r="BO12" i="10" s="1"/>
  <c r="AY29" i="10"/>
  <c r="BO13" i="10" s="1"/>
  <c r="AZ29" i="10"/>
  <c r="BO14" i="10" s="1"/>
  <c r="BA29" i="10"/>
  <c r="BO15" i="10" s="1"/>
  <c r="BB29" i="10"/>
  <c r="BO16" i="10" s="1"/>
  <c r="BC29" i="10"/>
  <c r="BO17" i="10" s="1"/>
  <c r="BD29" i="10"/>
  <c r="BO18" i="10" s="1"/>
  <c r="BE29" i="10"/>
  <c r="BO19" i="10" s="1"/>
  <c r="BF29" i="10"/>
  <c r="BO20" i="10" s="1"/>
  <c r="BG29" i="10"/>
  <c r="BO21" i="10" s="1"/>
  <c r="BH29" i="10"/>
  <c r="BO22" i="10" s="1"/>
  <c r="BI29" i="10"/>
  <c r="BO23" i="10" s="1"/>
  <c r="AR30" i="10"/>
  <c r="AS30" i="10"/>
  <c r="BP7" i="10" s="1"/>
  <c r="AT30" i="10"/>
  <c r="BP8" i="10" s="1"/>
  <c r="AU30" i="10"/>
  <c r="BP9" i="10" s="1"/>
  <c r="AV30" i="10"/>
  <c r="BP10" i="10" s="1"/>
  <c r="AW30" i="10"/>
  <c r="BP11" i="10" s="1"/>
  <c r="AX30" i="10"/>
  <c r="BP12" i="10" s="1"/>
  <c r="AY30" i="10"/>
  <c r="BP13" i="10" s="1"/>
  <c r="AZ30" i="10"/>
  <c r="BP14" i="10" s="1"/>
  <c r="BA30" i="10"/>
  <c r="BP15" i="10" s="1"/>
  <c r="BB30" i="10"/>
  <c r="BP16" i="10" s="1"/>
  <c r="BC30" i="10"/>
  <c r="BP17" i="10" s="1"/>
  <c r="BD30" i="10"/>
  <c r="BP18" i="10" s="1"/>
  <c r="BE30" i="10"/>
  <c r="BP19" i="10" s="1"/>
  <c r="BF30" i="10"/>
  <c r="BP20" i="10" s="1"/>
  <c r="BG30" i="10"/>
  <c r="BP21" i="10" s="1"/>
  <c r="BH30" i="10"/>
  <c r="BP22" i="10" s="1"/>
  <c r="BI30" i="10"/>
  <c r="BP23" i="10" s="1"/>
  <c r="AR31" i="10"/>
  <c r="AS31" i="10"/>
  <c r="BQ7" i="10" s="1"/>
  <c r="AT31" i="10"/>
  <c r="BQ8" i="10" s="1"/>
  <c r="AU31" i="10"/>
  <c r="BQ9" i="10" s="1"/>
  <c r="AV31" i="10"/>
  <c r="BQ10" i="10" s="1"/>
  <c r="AW31" i="10"/>
  <c r="BQ11" i="10" s="1"/>
  <c r="AX31" i="10"/>
  <c r="BQ12" i="10" s="1"/>
  <c r="AY31" i="10"/>
  <c r="BQ13" i="10" s="1"/>
  <c r="AZ31" i="10"/>
  <c r="BQ14" i="10" s="1"/>
  <c r="BA31" i="10"/>
  <c r="BQ15" i="10" s="1"/>
  <c r="BB31" i="10"/>
  <c r="BQ16" i="10" s="1"/>
  <c r="BC31" i="10"/>
  <c r="BQ17" i="10" s="1"/>
  <c r="BD31" i="10"/>
  <c r="BQ18" i="10" s="1"/>
  <c r="BE31" i="10"/>
  <c r="BQ19" i="10" s="1"/>
  <c r="BF31" i="10"/>
  <c r="BQ20" i="10" s="1"/>
  <c r="BG31" i="10"/>
  <c r="BQ21" i="10" s="1"/>
  <c r="BH31" i="10"/>
  <c r="BQ22" i="10" s="1"/>
  <c r="BI31" i="10"/>
  <c r="BQ23" i="10" s="1"/>
  <c r="AR32" i="10"/>
  <c r="AS32" i="10"/>
  <c r="BR7" i="10" s="1"/>
  <c r="AT32" i="10"/>
  <c r="BR8" i="10" s="1"/>
  <c r="AU32" i="10"/>
  <c r="BR9" i="10" s="1"/>
  <c r="AV32" i="10"/>
  <c r="BR10" i="10" s="1"/>
  <c r="AW32" i="10"/>
  <c r="BR11" i="10" s="1"/>
  <c r="AX32" i="10"/>
  <c r="BR12" i="10" s="1"/>
  <c r="AY32" i="10"/>
  <c r="BR13" i="10" s="1"/>
  <c r="AZ32" i="10"/>
  <c r="BR14" i="10" s="1"/>
  <c r="BA32" i="10"/>
  <c r="BR15" i="10" s="1"/>
  <c r="BB32" i="10"/>
  <c r="BR16" i="10" s="1"/>
  <c r="BC32" i="10"/>
  <c r="BR17" i="10" s="1"/>
  <c r="BD32" i="10"/>
  <c r="BR18" i="10" s="1"/>
  <c r="BE32" i="10"/>
  <c r="BR19" i="10" s="1"/>
  <c r="BF32" i="10"/>
  <c r="BR20" i="10" s="1"/>
  <c r="BG32" i="10"/>
  <c r="BR21" i="10" s="1"/>
  <c r="BH32" i="10"/>
  <c r="BR22" i="10" s="1"/>
  <c r="BI32" i="10"/>
  <c r="BR23" i="10" s="1"/>
  <c r="AR33" i="10"/>
  <c r="AS33" i="10"/>
  <c r="BS7" i="10" s="1"/>
  <c r="AT33" i="10"/>
  <c r="BS8" i="10" s="1"/>
  <c r="AU33" i="10"/>
  <c r="BS9" i="10" s="1"/>
  <c r="AV33" i="10"/>
  <c r="BS10" i="10" s="1"/>
  <c r="AW33" i="10"/>
  <c r="BS11" i="10" s="1"/>
  <c r="AX33" i="10"/>
  <c r="BS12" i="10" s="1"/>
  <c r="AY33" i="10"/>
  <c r="BS13" i="10" s="1"/>
  <c r="AZ33" i="10"/>
  <c r="BS14" i="10" s="1"/>
  <c r="BA33" i="10"/>
  <c r="BS15" i="10" s="1"/>
  <c r="BB33" i="10"/>
  <c r="BS16" i="10" s="1"/>
  <c r="BC33" i="10"/>
  <c r="BS17" i="10" s="1"/>
  <c r="BD33" i="10"/>
  <c r="BS18" i="10" s="1"/>
  <c r="BE33" i="10"/>
  <c r="BS19" i="10" s="1"/>
  <c r="BF33" i="10"/>
  <c r="BS20" i="10" s="1"/>
  <c r="BG33" i="10"/>
  <c r="BS21" i="10" s="1"/>
  <c r="BH33" i="10"/>
  <c r="BS22" i="10" s="1"/>
  <c r="BI33" i="10"/>
  <c r="BS23" i="10" s="1"/>
  <c r="AR34" i="10"/>
  <c r="AS34" i="10"/>
  <c r="BT7" i="10" s="1"/>
  <c r="AT34" i="10"/>
  <c r="BT8" i="10" s="1"/>
  <c r="AU34" i="10"/>
  <c r="BT9" i="10" s="1"/>
  <c r="AV34" i="10"/>
  <c r="BT10" i="10" s="1"/>
  <c r="AW34" i="10"/>
  <c r="BT11" i="10" s="1"/>
  <c r="AX34" i="10"/>
  <c r="BT12" i="10" s="1"/>
  <c r="AY34" i="10"/>
  <c r="BT13" i="10" s="1"/>
  <c r="AZ34" i="10"/>
  <c r="BT14" i="10" s="1"/>
  <c r="BA34" i="10"/>
  <c r="BT15" i="10" s="1"/>
  <c r="BB34" i="10"/>
  <c r="BT16" i="10" s="1"/>
  <c r="BC34" i="10"/>
  <c r="BT17" i="10" s="1"/>
  <c r="BD34" i="10"/>
  <c r="BT18" i="10" s="1"/>
  <c r="BE34" i="10"/>
  <c r="BT19" i="10" s="1"/>
  <c r="BF34" i="10"/>
  <c r="BT20" i="10" s="1"/>
  <c r="BG34" i="10"/>
  <c r="BT21" i="10" s="1"/>
  <c r="BH34" i="10"/>
  <c r="BT22" i="10" s="1"/>
  <c r="BI34" i="10"/>
  <c r="BT23" i="10" s="1"/>
  <c r="AR36" i="10"/>
  <c r="AS36" i="10"/>
  <c r="BV7" i="10" s="1"/>
  <c r="AT36" i="10"/>
  <c r="BV8" i="10" s="1"/>
  <c r="AU36" i="10"/>
  <c r="BV9" i="10" s="1"/>
  <c r="AV36" i="10"/>
  <c r="BV10" i="10" s="1"/>
  <c r="AW36" i="10"/>
  <c r="BV11" i="10" s="1"/>
  <c r="AX36" i="10"/>
  <c r="BV12" i="10" s="1"/>
  <c r="AY36" i="10"/>
  <c r="BV13" i="10" s="1"/>
  <c r="AZ36" i="10"/>
  <c r="BV14" i="10" s="1"/>
  <c r="BA36" i="10"/>
  <c r="BV15" i="10" s="1"/>
  <c r="BB36" i="10"/>
  <c r="BV16" i="10" s="1"/>
  <c r="BC36" i="10"/>
  <c r="BV17" i="10" s="1"/>
  <c r="BD36" i="10"/>
  <c r="BV18" i="10" s="1"/>
  <c r="BE36" i="10"/>
  <c r="BV19" i="10" s="1"/>
  <c r="BF36" i="10"/>
  <c r="BV20" i="10" s="1"/>
  <c r="BG36" i="10"/>
  <c r="BV21" i="10" s="1"/>
  <c r="BH36" i="10"/>
  <c r="BV22" i="10" s="1"/>
  <c r="BI36" i="10"/>
  <c r="BV23" i="10" s="1"/>
  <c r="BJ25" i="10"/>
  <c r="BK24" i="10" s="1"/>
  <c r="BI25" i="10"/>
  <c r="BK23" i="10" s="1"/>
  <c r="BH25" i="10"/>
  <c r="BK22" i="10" s="1"/>
  <c r="BG25" i="10"/>
  <c r="BK21" i="10" s="1"/>
  <c r="BF25" i="10"/>
  <c r="BK20" i="10" s="1"/>
  <c r="BE25" i="10"/>
  <c r="BK19" i="10" s="1"/>
  <c r="BD25" i="10"/>
  <c r="BK18" i="10" s="1"/>
  <c r="BC25" i="10"/>
  <c r="BK17" i="10" s="1"/>
  <c r="BB25" i="10"/>
  <c r="BK16" i="10" s="1"/>
  <c r="BA25" i="10"/>
  <c r="BK15" i="10" s="1"/>
  <c r="AZ25" i="10"/>
  <c r="BK14" i="10" s="1"/>
  <c r="AY25" i="10"/>
  <c r="BK13" i="10" s="1"/>
  <c r="AX25" i="10"/>
  <c r="BK12" i="10" s="1"/>
  <c r="AW25" i="10"/>
  <c r="BK11" i="10" s="1"/>
  <c r="AV25" i="10"/>
  <c r="BK10" i="10" s="1"/>
  <c r="AU25" i="10"/>
  <c r="BK9" i="10" s="1"/>
  <c r="AT25" i="10"/>
  <c r="BK8" i="10" s="1"/>
  <c r="AS25" i="10"/>
  <c r="BK7" i="10" s="1"/>
  <c r="AR25" i="10"/>
  <c r="BI24" i="10"/>
  <c r="BJ23" i="10" s="1"/>
  <c r="BH24" i="10"/>
  <c r="BJ22" i="10" s="1"/>
  <c r="BG24" i="10"/>
  <c r="BJ21" i="10" s="1"/>
  <c r="BF24" i="10"/>
  <c r="BJ20" i="10" s="1"/>
  <c r="BE24" i="10"/>
  <c r="BJ19" i="10" s="1"/>
  <c r="BD24" i="10"/>
  <c r="BJ18" i="10" s="1"/>
  <c r="BC24" i="10"/>
  <c r="BJ17" i="10" s="1"/>
  <c r="BB24" i="10"/>
  <c r="BJ16" i="10" s="1"/>
  <c r="BA24" i="10"/>
  <c r="BJ15" i="10" s="1"/>
  <c r="AZ24" i="10"/>
  <c r="BJ14" i="10" s="1"/>
  <c r="AY24" i="10"/>
  <c r="BJ13" i="10" s="1"/>
  <c r="AX24" i="10"/>
  <c r="BJ12" i="10" s="1"/>
  <c r="AW24" i="10"/>
  <c r="BJ11" i="10" s="1"/>
  <c r="AV24" i="10"/>
  <c r="BJ10" i="10" s="1"/>
  <c r="AU24" i="10"/>
  <c r="BJ9" i="10" s="1"/>
  <c r="AT24" i="10"/>
  <c r="BJ8" i="10" s="1"/>
  <c r="AS24" i="10"/>
  <c r="BJ7" i="10" s="1"/>
  <c r="AR24" i="10"/>
  <c r="BH23" i="10"/>
  <c r="BI22" i="10" s="1"/>
  <c r="BG23" i="10"/>
  <c r="BI21" i="10" s="1"/>
  <c r="BF23" i="10"/>
  <c r="BI20" i="10" s="1"/>
  <c r="BE23" i="10"/>
  <c r="BI19" i="10" s="1"/>
  <c r="BD23" i="10"/>
  <c r="BI18" i="10" s="1"/>
  <c r="BC23" i="10"/>
  <c r="BI17" i="10" s="1"/>
  <c r="BB23" i="10"/>
  <c r="BI16" i="10" s="1"/>
  <c r="BA23" i="10"/>
  <c r="BI15" i="10" s="1"/>
  <c r="AZ23" i="10"/>
  <c r="BI14" i="10" s="1"/>
  <c r="AY23" i="10"/>
  <c r="BI13" i="10" s="1"/>
  <c r="AX23" i="10"/>
  <c r="BI12" i="10" s="1"/>
  <c r="AW23" i="10"/>
  <c r="BI11" i="10" s="1"/>
  <c r="AV23" i="10"/>
  <c r="BI10" i="10" s="1"/>
  <c r="AU23" i="10"/>
  <c r="BI9" i="10" s="1"/>
  <c r="AT23" i="10"/>
  <c r="BI8" i="10" s="1"/>
  <c r="AS23" i="10"/>
  <c r="BI7" i="10" s="1"/>
  <c r="AR23" i="10"/>
  <c r="BG22" i="10"/>
  <c r="BH21" i="10" s="1"/>
  <c r="BF22" i="10"/>
  <c r="BH20" i="10" s="1"/>
  <c r="BE22" i="10"/>
  <c r="BH19" i="10" s="1"/>
  <c r="BD22" i="10"/>
  <c r="BH18" i="10" s="1"/>
  <c r="BC22" i="10"/>
  <c r="BH17" i="10" s="1"/>
  <c r="BB22" i="10"/>
  <c r="BH16" i="10" s="1"/>
  <c r="BA22" i="10"/>
  <c r="BH15" i="10" s="1"/>
  <c r="AZ22" i="10"/>
  <c r="BH14" i="10" s="1"/>
  <c r="AY22" i="10"/>
  <c r="BH13" i="10" s="1"/>
  <c r="AX22" i="10"/>
  <c r="BH12" i="10" s="1"/>
  <c r="AW22" i="10"/>
  <c r="BH11" i="10" s="1"/>
  <c r="AV22" i="10"/>
  <c r="BH10" i="10" s="1"/>
  <c r="AU22" i="10"/>
  <c r="BH9" i="10" s="1"/>
  <c r="AT22" i="10"/>
  <c r="BH8" i="10" s="1"/>
  <c r="AS22" i="10"/>
  <c r="BH7" i="10" s="1"/>
  <c r="AR22" i="10"/>
  <c r="BF21" i="10"/>
  <c r="BG20" i="10" s="1"/>
  <c r="BE21" i="10"/>
  <c r="BG19" i="10" s="1"/>
  <c r="BD21" i="10"/>
  <c r="BG18" i="10" s="1"/>
  <c r="BC21" i="10"/>
  <c r="BG17" i="10" s="1"/>
  <c r="BB21" i="10"/>
  <c r="BG16" i="10" s="1"/>
  <c r="BA21" i="10"/>
  <c r="BG15" i="10" s="1"/>
  <c r="AZ21" i="10"/>
  <c r="BG14" i="10" s="1"/>
  <c r="AY21" i="10"/>
  <c r="BG13" i="10" s="1"/>
  <c r="AX21" i="10"/>
  <c r="BG12" i="10" s="1"/>
  <c r="AW21" i="10"/>
  <c r="BG11" i="10" s="1"/>
  <c r="AV21" i="10"/>
  <c r="BG10" i="10" s="1"/>
  <c r="AU21" i="10"/>
  <c r="BG9" i="10" s="1"/>
  <c r="AT21" i="10"/>
  <c r="BG8" i="10" s="1"/>
  <c r="AS21" i="10"/>
  <c r="BG7" i="10" s="1"/>
  <c r="AR21" i="10"/>
  <c r="BE20" i="10"/>
  <c r="BF19" i="10" s="1"/>
  <c r="BD20" i="10"/>
  <c r="BF18" i="10" s="1"/>
  <c r="BC20" i="10"/>
  <c r="BF17" i="10" s="1"/>
  <c r="BB20" i="10"/>
  <c r="BF16" i="10" s="1"/>
  <c r="BA20" i="10"/>
  <c r="BF15" i="10" s="1"/>
  <c r="AZ20" i="10"/>
  <c r="BF14" i="10" s="1"/>
  <c r="AY20" i="10"/>
  <c r="BF13" i="10" s="1"/>
  <c r="AX20" i="10"/>
  <c r="BF12" i="10" s="1"/>
  <c r="AW20" i="10"/>
  <c r="BF11" i="10" s="1"/>
  <c r="AV20" i="10"/>
  <c r="BF10" i="10" s="1"/>
  <c r="AU20" i="10"/>
  <c r="BF9" i="10" s="1"/>
  <c r="AT20" i="10"/>
  <c r="BF8" i="10" s="1"/>
  <c r="AS20" i="10"/>
  <c r="BF7" i="10" s="1"/>
  <c r="AR20" i="10"/>
  <c r="BD19" i="10"/>
  <c r="BE18" i="10" s="1"/>
  <c r="BC19" i="10"/>
  <c r="BE17" i="10" s="1"/>
  <c r="BB19" i="10"/>
  <c r="BE16" i="10" s="1"/>
  <c r="BA19" i="10"/>
  <c r="BE15" i="10" s="1"/>
  <c r="AZ19" i="10"/>
  <c r="BE14" i="10" s="1"/>
  <c r="AY19" i="10"/>
  <c r="BE13" i="10" s="1"/>
  <c r="AX19" i="10"/>
  <c r="BE12" i="10" s="1"/>
  <c r="AW19" i="10"/>
  <c r="BE11" i="10" s="1"/>
  <c r="AV19" i="10"/>
  <c r="BE10" i="10" s="1"/>
  <c r="AU19" i="10"/>
  <c r="BE9" i="10" s="1"/>
  <c r="AT19" i="10"/>
  <c r="BE8" i="10" s="1"/>
  <c r="AS19" i="10"/>
  <c r="BE7" i="10" s="1"/>
  <c r="AR19" i="10"/>
  <c r="BC18" i="10"/>
  <c r="BD17" i="10" s="1"/>
  <c r="BB18" i="10"/>
  <c r="BD16" i="10" s="1"/>
  <c r="BA18" i="10"/>
  <c r="BD15" i="10" s="1"/>
  <c r="AZ18" i="10"/>
  <c r="BD14" i="10" s="1"/>
  <c r="AY18" i="10"/>
  <c r="BD13" i="10" s="1"/>
  <c r="AX18" i="10"/>
  <c r="BD12" i="10" s="1"/>
  <c r="AW18" i="10"/>
  <c r="BD11" i="10" s="1"/>
  <c r="AV18" i="10"/>
  <c r="BD10" i="10" s="1"/>
  <c r="AU18" i="10"/>
  <c r="BD9" i="10" s="1"/>
  <c r="AT18" i="10"/>
  <c r="BD8" i="10" s="1"/>
  <c r="AS18" i="10"/>
  <c r="BD7" i="10" s="1"/>
  <c r="AR18" i="10"/>
  <c r="BB17" i="10"/>
  <c r="BC16" i="10" s="1"/>
  <c r="BA17" i="10"/>
  <c r="BC15" i="10" s="1"/>
  <c r="AZ17" i="10"/>
  <c r="BC14" i="10" s="1"/>
  <c r="AY17" i="10"/>
  <c r="BC13" i="10" s="1"/>
  <c r="AX17" i="10"/>
  <c r="BC12" i="10" s="1"/>
  <c r="AW17" i="10"/>
  <c r="BC11" i="10" s="1"/>
  <c r="AV17" i="10"/>
  <c r="BC10" i="10" s="1"/>
  <c r="AU17" i="10"/>
  <c r="BC9" i="10" s="1"/>
  <c r="AT17" i="10"/>
  <c r="BC8" i="10" s="1"/>
  <c r="AS17" i="10"/>
  <c r="BC7" i="10" s="1"/>
  <c r="AR17" i="10"/>
  <c r="BA16" i="10"/>
  <c r="BB15" i="10" s="1"/>
  <c r="AZ16" i="10"/>
  <c r="BB14" i="10" s="1"/>
  <c r="AY16" i="10"/>
  <c r="BB13" i="10" s="1"/>
  <c r="AX16" i="10"/>
  <c r="BB12" i="10" s="1"/>
  <c r="AW16" i="10"/>
  <c r="BB11" i="10" s="1"/>
  <c r="AV16" i="10"/>
  <c r="BB10" i="10" s="1"/>
  <c r="AU16" i="10"/>
  <c r="BB9" i="10" s="1"/>
  <c r="AT16" i="10"/>
  <c r="BB8" i="10" s="1"/>
  <c r="AS16" i="10"/>
  <c r="BB7" i="10" s="1"/>
  <c r="AR16" i="10"/>
  <c r="AZ15" i="10"/>
  <c r="BA14" i="10" s="1"/>
  <c r="AY15" i="10"/>
  <c r="BA13" i="10" s="1"/>
  <c r="AX15" i="10"/>
  <c r="BA12" i="10" s="1"/>
  <c r="AW15" i="10"/>
  <c r="BA11" i="10" s="1"/>
  <c r="AV15" i="10"/>
  <c r="BA10" i="10" s="1"/>
  <c r="AU15" i="10"/>
  <c r="BA9" i="10" s="1"/>
  <c r="AT15" i="10"/>
  <c r="BA8" i="10" s="1"/>
  <c r="AS15" i="10"/>
  <c r="BA7" i="10" s="1"/>
  <c r="AR15" i="10"/>
  <c r="AY14" i="10"/>
  <c r="AZ13" i="10" s="1"/>
  <c r="AX14" i="10"/>
  <c r="AZ12" i="10" s="1"/>
  <c r="AW14" i="10"/>
  <c r="AZ11" i="10" s="1"/>
  <c r="AV14" i="10"/>
  <c r="AZ10" i="10" s="1"/>
  <c r="AU14" i="10"/>
  <c r="AZ9" i="10" s="1"/>
  <c r="AT14" i="10"/>
  <c r="AZ8" i="10" s="1"/>
  <c r="AS14" i="10"/>
  <c r="AZ7" i="10" s="1"/>
  <c r="AR14" i="10"/>
  <c r="AX13" i="10"/>
  <c r="AY12" i="10" s="1"/>
  <c r="AW13" i="10"/>
  <c r="AY11" i="10" s="1"/>
  <c r="AV13" i="10"/>
  <c r="AY10" i="10" s="1"/>
  <c r="AU13" i="10"/>
  <c r="AY9" i="10" s="1"/>
  <c r="AT13" i="10"/>
  <c r="AY8" i="10" s="1"/>
  <c r="AS13" i="10"/>
  <c r="AY7" i="10" s="1"/>
  <c r="AR13" i="10"/>
  <c r="AW12" i="10"/>
  <c r="AX11" i="10" s="1"/>
  <c r="AV12" i="10"/>
  <c r="AX10" i="10" s="1"/>
  <c r="AU12" i="10"/>
  <c r="AX9" i="10" s="1"/>
  <c r="AT12" i="10"/>
  <c r="AX8" i="10" s="1"/>
  <c r="AS12" i="10"/>
  <c r="AX7" i="10" s="1"/>
  <c r="AR12" i="10"/>
  <c r="AV11" i="10"/>
  <c r="AW10" i="10" s="1"/>
  <c r="AU11" i="10"/>
  <c r="AW9" i="10" s="1"/>
  <c r="AT11" i="10"/>
  <c r="AW8" i="10" s="1"/>
  <c r="AS11" i="10"/>
  <c r="AW7" i="10" s="1"/>
  <c r="AR11" i="10"/>
  <c r="AU10" i="10"/>
  <c r="AV9" i="10" s="1"/>
  <c r="AT10" i="10"/>
  <c r="AV8" i="10" s="1"/>
  <c r="AS10" i="10"/>
  <c r="AV7" i="10" s="1"/>
  <c r="AR10" i="10"/>
  <c r="AT9" i="10"/>
  <c r="AU8" i="10" s="1"/>
  <c r="AS9" i="10"/>
  <c r="AU7" i="10" s="1"/>
  <c r="AR9" i="10"/>
  <c r="AS8" i="10"/>
  <c r="AT7" i="10" s="1"/>
  <c r="AR8" i="10"/>
  <c r="AR7" i="10"/>
  <c r="R9" i="9"/>
  <c r="T7" i="9" s="1"/>
  <c r="U7" i="9" s="1"/>
  <c r="J7" i="9" s="1"/>
  <c r="Q9" i="9"/>
  <c r="AK18" i="8"/>
  <c r="AL17" i="8" s="1"/>
  <c r="AJ18" i="8"/>
  <c r="AL16" i="8" s="1"/>
  <c r="AI18" i="8"/>
  <c r="AL15" i="8" s="1"/>
  <c r="AH18" i="8"/>
  <c r="AL14" i="8" s="1"/>
  <c r="AG18" i="8"/>
  <c r="AL13" i="8" s="1"/>
  <c r="AF18" i="8"/>
  <c r="AL12" i="8" s="1"/>
  <c r="AE18" i="8"/>
  <c r="AL11" i="8" s="1"/>
  <c r="AD18" i="8"/>
  <c r="AL10" i="8" s="1"/>
  <c r="AC18" i="8"/>
  <c r="AL9" i="8" s="1"/>
  <c r="AB18" i="8"/>
  <c r="AL8" i="8" s="1"/>
  <c r="AA18" i="8"/>
  <c r="AL7" i="8" s="1"/>
  <c r="Z18" i="8"/>
  <c r="S18" i="8" s="1"/>
  <c r="T18" i="8" s="1"/>
  <c r="AJ17" i="8"/>
  <c r="AK16" i="8" s="1"/>
  <c r="AI17" i="8"/>
  <c r="AK15" i="8" s="1"/>
  <c r="AH17" i="8"/>
  <c r="AK14" i="8" s="1"/>
  <c r="AG17" i="8"/>
  <c r="AK13" i="8" s="1"/>
  <c r="AF17" i="8"/>
  <c r="AK12" i="8" s="1"/>
  <c r="AE17" i="8"/>
  <c r="AK11" i="8" s="1"/>
  <c r="AD17" i="8"/>
  <c r="AK10" i="8" s="1"/>
  <c r="AC17" i="8"/>
  <c r="AK9" i="8" s="1"/>
  <c r="AB17" i="8"/>
  <c r="AK8" i="8" s="1"/>
  <c r="AA17" i="8"/>
  <c r="AK7" i="8" s="1"/>
  <c r="Z17" i="8"/>
  <c r="S17" i="8" s="1"/>
  <c r="T17" i="8" s="1"/>
  <c r="AI16" i="8"/>
  <c r="AJ15" i="8" s="1"/>
  <c r="AH16" i="8"/>
  <c r="AJ14" i="8" s="1"/>
  <c r="AG16" i="8"/>
  <c r="AJ13" i="8" s="1"/>
  <c r="AF16" i="8"/>
  <c r="AJ12" i="8" s="1"/>
  <c r="AE16" i="8"/>
  <c r="AJ11" i="8" s="1"/>
  <c r="AD16" i="8"/>
  <c r="AJ10" i="8" s="1"/>
  <c r="AC16" i="8"/>
  <c r="AJ9" i="8" s="1"/>
  <c r="AB16" i="8"/>
  <c r="AJ8" i="8" s="1"/>
  <c r="AA16" i="8"/>
  <c r="AJ7" i="8" s="1"/>
  <c r="Z16" i="8"/>
  <c r="AJ6" i="8" s="1"/>
  <c r="AH15" i="8"/>
  <c r="AI14" i="8" s="1"/>
  <c r="AG15" i="8"/>
  <c r="AI13" i="8" s="1"/>
  <c r="AF15" i="8"/>
  <c r="AI12" i="8" s="1"/>
  <c r="AE15" i="8"/>
  <c r="AI11" i="8" s="1"/>
  <c r="AD15" i="8"/>
  <c r="AI10" i="8" s="1"/>
  <c r="AC15" i="8"/>
  <c r="AI9" i="8" s="1"/>
  <c r="AB15" i="8"/>
  <c r="AI8" i="8" s="1"/>
  <c r="AA15" i="8"/>
  <c r="AI7" i="8" s="1"/>
  <c r="Z15" i="8"/>
  <c r="S15" i="8" s="1"/>
  <c r="T15" i="8" s="1"/>
  <c r="AG14" i="8"/>
  <c r="AH13" i="8" s="1"/>
  <c r="AF14" i="8"/>
  <c r="AH12" i="8" s="1"/>
  <c r="AE14" i="8"/>
  <c r="AH11" i="8" s="1"/>
  <c r="AD14" i="8"/>
  <c r="AH10" i="8" s="1"/>
  <c r="AC14" i="8"/>
  <c r="AH9" i="8" s="1"/>
  <c r="AB14" i="8"/>
  <c r="AH8" i="8" s="1"/>
  <c r="AA14" i="8"/>
  <c r="AH7" i="8" s="1"/>
  <c r="Z14" i="8"/>
  <c r="S14" i="8" s="1"/>
  <c r="T14" i="8" s="1"/>
  <c r="AF13" i="8"/>
  <c r="AG12" i="8" s="1"/>
  <c r="AE13" i="8"/>
  <c r="AG11" i="8" s="1"/>
  <c r="AD13" i="8"/>
  <c r="AG10" i="8" s="1"/>
  <c r="AC13" i="8"/>
  <c r="AG9" i="8" s="1"/>
  <c r="AB13" i="8"/>
  <c r="AG8" i="8" s="1"/>
  <c r="AA13" i="8"/>
  <c r="AG7" i="8" s="1"/>
  <c r="Z13" i="8"/>
  <c r="S13" i="8" s="1"/>
  <c r="T13" i="8" s="1"/>
  <c r="AE12" i="8"/>
  <c r="AF11" i="8" s="1"/>
  <c r="AD12" i="8"/>
  <c r="AF10" i="8" s="1"/>
  <c r="AC12" i="8"/>
  <c r="AF9" i="8" s="1"/>
  <c r="AB12" i="8"/>
  <c r="AF8" i="8" s="1"/>
  <c r="AA12" i="8"/>
  <c r="AF7" i="8" s="1"/>
  <c r="Z12" i="8"/>
  <c r="AF6" i="8" s="1"/>
  <c r="AD11" i="8"/>
  <c r="AE10" i="8" s="1"/>
  <c r="AC11" i="8"/>
  <c r="AE9" i="8" s="1"/>
  <c r="AB11" i="8"/>
  <c r="AE8" i="8" s="1"/>
  <c r="AA11" i="8"/>
  <c r="AE7" i="8" s="1"/>
  <c r="Z11" i="8"/>
  <c r="S11" i="8" s="1"/>
  <c r="T11" i="8" s="1"/>
  <c r="AC10" i="8"/>
  <c r="AD9" i="8" s="1"/>
  <c r="AB10" i="8"/>
  <c r="AD8" i="8" s="1"/>
  <c r="AA10" i="8"/>
  <c r="AD7" i="8" s="1"/>
  <c r="Z10" i="8"/>
  <c r="AD6" i="8" s="1"/>
  <c r="AB9" i="8"/>
  <c r="AC8" i="8" s="1"/>
  <c r="AA9" i="8"/>
  <c r="AC7" i="8" s="1"/>
  <c r="Z9" i="8"/>
  <c r="S9" i="8" s="1"/>
  <c r="T9" i="8" s="1"/>
  <c r="AA8" i="8"/>
  <c r="AB7" i="8" s="1"/>
  <c r="Z8" i="8"/>
  <c r="AB6" i="8" s="1"/>
  <c r="Z7" i="8"/>
  <c r="S7" i="8" s="1"/>
  <c r="T7" i="8" s="1"/>
  <c r="AO20" i="7"/>
  <c r="AN20" i="7"/>
  <c r="AP18" i="7" s="1"/>
  <c r="AM20" i="7"/>
  <c r="AP17" i="7" s="1"/>
  <c r="AL20" i="7"/>
  <c r="AP16" i="7" s="1"/>
  <c r="AK20" i="7"/>
  <c r="AP15" i="7" s="1"/>
  <c r="AJ20" i="7"/>
  <c r="AP14" i="7" s="1"/>
  <c r="AI20" i="7"/>
  <c r="AP13" i="7" s="1"/>
  <c r="AH20" i="7"/>
  <c r="AP12" i="7" s="1"/>
  <c r="AG20" i="7"/>
  <c r="AF20" i="7"/>
  <c r="AE20" i="7"/>
  <c r="AP9" i="7" s="1"/>
  <c r="AD20" i="7"/>
  <c r="AP8" i="7" s="1"/>
  <c r="AC20" i="7"/>
  <c r="AP7" i="7" s="1"/>
  <c r="AB20" i="7"/>
  <c r="U20" i="7" s="1"/>
  <c r="V20" i="7" s="1"/>
  <c r="AP19" i="7"/>
  <c r="AN19" i="7"/>
  <c r="AO18" i="7" s="1"/>
  <c r="AM19" i="7"/>
  <c r="AL19" i="7"/>
  <c r="AO16" i="7" s="1"/>
  <c r="AK19" i="7"/>
  <c r="AO15" i="7" s="1"/>
  <c r="AJ19" i="7"/>
  <c r="AO14" i="7" s="1"/>
  <c r="AI19" i="7"/>
  <c r="AH19" i="7"/>
  <c r="AO12" i="7" s="1"/>
  <c r="AG19" i="7"/>
  <c r="AO11" i="7" s="1"/>
  <c r="AF19" i="7"/>
  <c r="AO10" i="7" s="1"/>
  <c r="AE19" i="7"/>
  <c r="AD19" i="7"/>
  <c r="AO8" i="7" s="1"/>
  <c r="AC19" i="7"/>
  <c r="AO7" i="7" s="1"/>
  <c r="AB19" i="7"/>
  <c r="AM18" i="7"/>
  <c r="AN17" i="7" s="1"/>
  <c r="AL18" i="7"/>
  <c r="AN16" i="7" s="1"/>
  <c r="AK18" i="7"/>
  <c r="AJ18" i="7"/>
  <c r="AN14" i="7" s="1"/>
  <c r="AI18" i="7"/>
  <c r="AN13" i="7" s="1"/>
  <c r="AH18" i="7"/>
  <c r="AN12" i="7" s="1"/>
  <c r="AG18" i="7"/>
  <c r="AN11" i="7" s="1"/>
  <c r="AF18" i="7"/>
  <c r="AN10" i="7" s="1"/>
  <c r="AE18" i="7"/>
  <c r="AD18" i="7"/>
  <c r="AN8" i="7" s="1"/>
  <c r="AC18" i="7"/>
  <c r="AN7" i="7" s="1"/>
  <c r="AB18" i="7"/>
  <c r="AN6" i="7" s="1"/>
  <c r="AO17" i="7"/>
  <c r="AL17" i="7"/>
  <c r="AM16" i="7" s="1"/>
  <c r="AK17" i="7"/>
  <c r="AM15" i="7" s="1"/>
  <c r="AJ17" i="7"/>
  <c r="AM14" i="7" s="1"/>
  <c r="AI17" i="7"/>
  <c r="AH17" i="7"/>
  <c r="AM12" i="7" s="1"/>
  <c r="AG17" i="7"/>
  <c r="AF17" i="7"/>
  <c r="AE17" i="7"/>
  <c r="AM9" i="7" s="1"/>
  <c r="AD17" i="7"/>
  <c r="AM8" i="7" s="1"/>
  <c r="AC17" i="7"/>
  <c r="AM7" i="7" s="1"/>
  <c r="AB17" i="7"/>
  <c r="AK16" i="7"/>
  <c r="AL15" i="7" s="1"/>
  <c r="AJ16" i="7"/>
  <c r="AL14" i="7" s="1"/>
  <c r="AI16" i="7"/>
  <c r="AL13" i="7" s="1"/>
  <c r="AH16" i="7"/>
  <c r="AL12" i="7" s="1"/>
  <c r="AG16" i="7"/>
  <c r="AL11" i="7" s="1"/>
  <c r="AF16" i="7"/>
  <c r="AL10" i="7" s="1"/>
  <c r="AE16" i="7"/>
  <c r="AL9" i="7" s="1"/>
  <c r="AD16" i="7"/>
  <c r="AL8" i="7" s="1"/>
  <c r="AC16" i="7"/>
  <c r="AB16" i="7"/>
  <c r="U16" i="7" s="1"/>
  <c r="V16" i="7" s="1"/>
  <c r="AN15" i="7"/>
  <c r="AJ15" i="7"/>
  <c r="AK14" i="7" s="1"/>
  <c r="AI15" i="7"/>
  <c r="AK13" i="7" s="1"/>
  <c r="AH15" i="7"/>
  <c r="AK12" i="7" s="1"/>
  <c r="AG15" i="7"/>
  <c r="AK11" i="7" s="1"/>
  <c r="AF15" i="7"/>
  <c r="AK10" i="7" s="1"/>
  <c r="AE15" i="7"/>
  <c r="AK9" i="7" s="1"/>
  <c r="AD15" i="7"/>
  <c r="AK8" i="7" s="1"/>
  <c r="AC15" i="7"/>
  <c r="AK7" i="7" s="1"/>
  <c r="AB15" i="7"/>
  <c r="U15" i="7" s="1"/>
  <c r="V15" i="7" s="1"/>
  <c r="AI14" i="7"/>
  <c r="AJ13" i="7" s="1"/>
  <c r="AH14" i="7"/>
  <c r="AJ12" i="7" s="1"/>
  <c r="AG14" i="7"/>
  <c r="AJ11" i="7" s="1"/>
  <c r="AF14" i="7"/>
  <c r="AJ10" i="7" s="1"/>
  <c r="AE14" i="7"/>
  <c r="AJ9" i="7" s="1"/>
  <c r="AD14" i="7"/>
  <c r="AJ8" i="7" s="1"/>
  <c r="AC14" i="7"/>
  <c r="AJ7" i="7" s="1"/>
  <c r="AB14" i="7"/>
  <c r="U14" i="7" s="1"/>
  <c r="V14" i="7" s="1"/>
  <c r="AO13" i="7"/>
  <c r="AM13" i="7"/>
  <c r="AH13" i="7"/>
  <c r="AI12" i="7" s="1"/>
  <c r="AG13" i="7"/>
  <c r="AI11" i="7" s="1"/>
  <c r="AF13" i="7"/>
  <c r="AE13" i="7"/>
  <c r="AI9" i="7" s="1"/>
  <c r="AD13" i="7"/>
  <c r="AI8" i="7" s="1"/>
  <c r="AC13" i="7"/>
  <c r="AI7" i="7" s="1"/>
  <c r="AB13" i="7"/>
  <c r="U13" i="7" s="1"/>
  <c r="V13" i="7" s="1"/>
  <c r="AG12" i="7"/>
  <c r="AH11" i="7" s="1"/>
  <c r="AF12" i="7"/>
  <c r="AH10" i="7" s="1"/>
  <c r="AE12" i="7"/>
  <c r="AH9" i="7" s="1"/>
  <c r="AD12" i="7"/>
  <c r="AH8" i="7" s="1"/>
  <c r="AC12" i="7"/>
  <c r="AH7" i="7" s="1"/>
  <c r="AB12" i="7"/>
  <c r="U12" i="7" s="1"/>
  <c r="V12" i="7" s="1"/>
  <c r="AP11" i="7"/>
  <c r="AM11" i="7"/>
  <c r="AF11" i="7"/>
  <c r="AG10" i="7" s="1"/>
  <c r="AE11" i="7"/>
  <c r="AG9" i="7" s="1"/>
  <c r="AD11" i="7"/>
  <c r="AG8" i="7" s="1"/>
  <c r="AC11" i="7"/>
  <c r="AB11" i="7"/>
  <c r="U11" i="7" s="1"/>
  <c r="V11" i="7" s="1"/>
  <c r="AP10" i="7"/>
  <c r="AM10" i="7"/>
  <c r="AI10" i="7"/>
  <c r="AE10" i="7"/>
  <c r="AF9" i="7" s="1"/>
  <c r="AD10" i="7"/>
  <c r="AF8" i="7" s="1"/>
  <c r="AC10" i="7"/>
  <c r="AF7" i="7" s="1"/>
  <c r="AB10" i="7"/>
  <c r="U10" i="7" s="1"/>
  <c r="V10" i="7" s="1"/>
  <c r="AO9" i="7"/>
  <c r="AN9" i="7"/>
  <c r="AD9" i="7"/>
  <c r="AE8" i="7" s="1"/>
  <c r="AC9" i="7"/>
  <c r="AE7" i="7" s="1"/>
  <c r="AB9" i="7"/>
  <c r="U9" i="7" s="1"/>
  <c r="V9" i="7" s="1"/>
  <c r="AC8" i="7"/>
  <c r="AD7" i="7" s="1"/>
  <c r="AB8" i="7"/>
  <c r="U8" i="7" s="1"/>
  <c r="V8" i="7" s="1"/>
  <c r="AL7" i="7"/>
  <c r="AG7" i="7"/>
  <c r="AB7" i="7"/>
  <c r="U7" i="7" s="1"/>
  <c r="V7" i="7" s="1"/>
  <c r="AP6" i="7"/>
  <c r="AD6" i="7"/>
  <c r="AI17" i="6"/>
  <c r="AH17" i="6"/>
  <c r="AG17" i="6"/>
  <c r="AF17" i="6"/>
  <c r="AE17" i="6"/>
  <c r="AD17" i="6"/>
  <c r="AC17" i="6"/>
  <c r="AB17" i="6"/>
  <c r="AJ9" i="6" s="1"/>
  <c r="AA17" i="6"/>
  <c r="Z17" i="6"/>
  <c r="Y17" i="6"/>
  <c r="R17" i="6" s="1"/>
  <c r="S17" i="6" s="1"/>
  <c r="AJ16" i="6"/>
  <c r="AH16" i="6"/>
  <c r="AG16" i="6"/>
  <c r="AF16" i="6"/>
  <c r="AE16" i="6"/>
  <c r="AI12" i="6" s="1"/>
  <c r="AD16" i="6"/>
  <c r="AC16" i="6"/>
  <c r="AB16" i="6"/>
  <c r="AA16" i="6"/>
  <c r="AI8" i="6" s="1"/>
  <c r="Z16" i="6"/>
  <c r="Y16" i="6"/>
  <c r="AK16" i="6" s="1"/>
  <c r="R16" i="6" s="1"/>
  <c r="S16" i="6" s="1"/>
  <c r="AJ15" i="6"/>
  <c r="AI15" i="6"/>
  <c r="AG15" i="6"/>
  <c r="AH14" i="6" s="1"/>
  <c r="AF15" i="6"/>
  <c r="AE15" i="6"/>
  <c r="AD15" i="6"/>
  <c r="AH11" i="6" s="1"/>
  <c r="AC15" i="6"/>
  <c r="AH10" i="6" s="1"/>
  <c r="AB15" i="6"/>
  <c r="AA15" i="6"/>
  <c r="Z15" i="6"/>
  <c r="AH7" i="6" s="1"/>
  <c r="Y15" i="6"/>
  <c r="AK15" i="6" s="1"/>
  <c r="R15" i="6" s="1"/>
  <c r="S15" i="6" s="1"/>
  <c r="AJ14" i="6"/>
  <c r="AI14" i="6"/>
  <c r="AF14" i="6"/>
  <c r="AG13" i="6" s="1"/>
  <c r="AE14" i="6"/>
  <c r="AG12" i="6" s="1"/>
  <c r="AD14" i="6"/>
  <c r="AC14" i="6"/>
  <c r="AB14" i="6"/>
  <c r="AG9" i="6" s="1"/>
  <c r="AA14" i="6"/>
  <c r="AG8" i="6" s="1"/>
  <c r="Z14" i="6"/>
  <c r="Y14" i="6"/>
  <c r="AK14" i="6" s="1"/>
  <c r="R14" i="6" s="1"/>
  <c r="S14" i="6" s="1"/>
  <c r="AJ13" i="6"/>
  <c r="AI13" i="6"/>
  <c r="AH13" i="6"/>
  <c r="AE13" i="6"/>
  <c r="AF12" i="6" s="1"/>
  <c r="AD13" i="6"/>
  <c r="AC13" i="6"/>
  <c r="AB13" i="6"/>
  <c r="AA13" i="6"/>
  <c r="AF8" i="6" s="1"/>
  <c r="Z13" i="6"/>
  <c r="Y13" i="6"/>
  <c r="AK13" i="6" s="1"/>
  <c r="R13" i="6" s="1"/>
  <c r="S13" i="6" s="1"/>
  <c r="AJ12" i="6"/>
  <c r="AH12" i="6"/>
  <c r="AD12" i="6"/>
  <c r="AC12" i="6"/>
  <c r="AB12" i="6"/>
  <c r="AE9" i="6" s="1"/>
  <c r="AA12" i="6"/>
  <c r="AE8" i="6" s="1"/>
  <c r="Z12" i="6"/>
  <c r="Y12" i="6"/>
  <c r="AK12" i="6" s="1"/>
  <c r="R12" i="6" s="1"/>
  <c r="S12" i="6" s="1"/>
  <c r="AJ11" i="6"/>
  <c r="AI11" i="6"/>
  <c r="AG11" i="6"/>
  <c r="AF11" i="6"/>
  <c r="AE11" i="6"/>
  <c r="AC11" i="6"/>
  <c r="AD10" i="6" s="1"/>
  <c r="AB11" i="6"/>
  <c r="AA11" i="6"/>
  <c r="Z11" i="6"/>
  <c r="Y11" i="6"/>
  <c r="AK11" i="6" s="1"/>
  <c r="R11" i="6" s="1"/>
  <c r="S11" i="6" s="1"/>
  <c r="AG10" i="6"/>
  <c r="AF10" i="6"/>
  <c r="AE10" i="6"/>
  <c r="AB10" i="6"/>
  <c r="AA10" i="6"/>
  <c r="AC8" i="6" s="1"/>
  <c r="Z10" i="6"/>
  <c r="AC7" i="6" s="1"/>
  <c r="Y10" i="6"/>
  <c r="AK10" i="6" s="1"/>
  <c r="R10" i="6" s="1"/>
  <c r="S10" i="6" s="1"/>
  <c r="AI9" i="6"/>
  <c r="AH9" i="6"/>
  <c r="AF9" i="6"/>
  <c r="AD9" i="6"/>
  <c r="AC9" i="6"/>
  <c r="AA9" i="6"/>
  <c r="AB8" i="6" s="1"/>
  <c r="Z9" i="6"/>
  <c r="Y9" i="6"/>
  <c r="AK9" i="6" s="1"/>
  <c r="R9" i="6" s="1"/>
  <c r="S9" i="6" s="1"/>
  <c r="AJ8" i="6"/>
  <c r="AH8" i="6"/>
  <c r="AD8" i="6"/>
  <c r="Z8" i="6"/>
  <c r="AA7" i="6" s="1"/>
  <c r="Y8" i="6"/>
  <c r="AK8" i="6" s="1"/>
  <c r="R8" i="6" s="1"/>
  <c r="S8" i="6" s="1"/>
  <c r="AJ7" i="6"/>
  <c r="AI7" i="6"/>
  <c r="AG7" i="6"/>
  <c r="AF7" i="6"/>
  <c r="AE7" i="6"/>
  <c r="AD7" i="6"/>
  <c r="AB7" i="6"/>
  <c r="Y7" i="6"/>
  <c r="AK7" i="6" s="1"/>
  <c r="R7" i="6" s="1"/>
  <c r="S7" i="6" s="1"/>
  <c r="AJ6" i="6"/>
  <c r="AI6" i="6"/>
  <c r="AG6" i="6"/>
  <c r="AF6" i="6"/>
  <c r="AE6" i="6"/>
  <c r="AC6" i="6"/>
  <c r="AA6" i="6"/>
  <c r="AC14" i="5"/>
  <c r="AD13" i="5" s="1"/>
  <c r="AB14" i="5"/>
  <c r="AD12" i="5" s="1"/>
  <c r="AA14" i="5"/>
  <c r="AD11" i="5" s="1"/>
  <c r="Z14" i="5"/>
  <c r="AD10" i="5" s="1"/>
  <c r="Y14" i="5"/>
  <c r="AD9" i="5" s="1"/>
  <c r="X14" i="5"/>
  <c r="AD8" i="5" s="1"/>
  <c r="W14" i="5"/>
  <c r="AD7" i="5" s="1"/>
  <c r="V14" i="5"/>
  <c r="AB13" i="5"/>
  <c r="AC12" i="5" s="1"/>
  <c r="AA13" i="5"/>
  <c r="AC11" i="5" s="1"/>
  <c r="Z13" i="5"/>
  <c r="AC10" i="5" s="1"/>
  <c r="Y13" i="5"/>
  <c r="AC9" i="5" s="1"/>
  <c r="X13" i="5"/>
  <c r="AC8" i="5" s="1"/>
  <c r="W13" i="5"/>
  <c r="AC7" i="5" s="1"/>
  <c r="V13" i="5"/>
  <c r="AA12" i="5"/>
  <c r="AB11" i="5" s="1"/>
  <c r="Z12" i="5"/>
  <c r="AB10" i="5" s="1"/>
  <c r="Y12" i="5"/>
  <c r="AB9" i="5" s="1"/>
  <c r="X12" i="5"/>
  <c r="AB8" i="5" s="1"/>
  <c r="W12" i="5"/>
  <c r="AB7" i="5" s="1"/>
  <c r="V12" i="5"/>
  <c r="Z11" i="5"/>
  <c r="AA10" i="5" s="1"/>
  <c r="Y11" i="5"/>
  <c r="AA9" i="5" s="1"/>
  <c r="X11" i="5"/>
  <c r="AA8" i="5" s="1"/>
  <c r="W11" i="5"/>
  <c r="AA7" i="5" s="1"/>
  <c r="V11" i="5"/>
  <c r="Y10" i="5"/>
  <c r="Z9" i="5" s="1"/>
  <c r="X10" i="5"/>
  <c r="Z8" i="5" s="1"/>
  <c r="W10" i="5"/>
  <c r="Z7" i="5" s="1"/>
  <c r="V10" i="5"/>
  <c r="X9" i="5"/>
  <c r="Y8" i="5" s="1"/>
  <c r="W9" i="5"/>
  <c r="Y7" i="5" s="1"/>
  <c r="V9" i="5"/>
  <c r="W8" i="5"/>
  <c r="X7" i="5" s="1"/>
  <c r="V8" i="5"/>
  <c r="V7" i="5"/>
  <c r="Z13" i="4"/>
  <c r="AB11" i="4" s="1"/>
  <c r="Y13" i="4"/>
  <c r="AB10" i="4" s="1"/>
  <c r="X13" i="4"/>
  <c r="AB9" i="4" s="1"/>
  <c r="W13" i="4"/>
  <c r="AB8" i="4" s="1"/>
  <c r="V13" i="4"/>
  <c r="AB7" i="4" s="1"/>
  <c r="U13" i="4"/>
  <c r="Y11" i="4"/>
  <c r="Z10" i="4" s="1"/>
  <c r="X11" i="4"/>
  <c r="Z9" i="4" s="1"/>
  <c r="W11" i="4"/>
  <c r="Z8" i="4" s="1"/>
  <c r="V11" i="4"/>
  <c r="Z7" i="4" s="1"/>
  <c r="U11" i="4"/>
  <c r="X10" i="4"/>
  <c r="Y9" i="4" s="1"/>
  <c r="W10" i="4"/>
  <c r="Y8" i="4" s="1"/>
  <c r="V10" i="4"/>
  <c r="Y7" i="4" s="1"/>
  <c r="U10" i="4"/>
  <c r="W9" i="4"/>
  <c r="X8" i="4" s="1"/>
  <c r="V9" i="4"/>
  <c r="X7" i="4" s="1"/>
  <c r="U9" i="4"/>
  <c r="X6" i="4" s="1"/>
  <c r="V8" i="4"/>
  <c r="W7" i="4" s="1"/>
  <c r="U8" i="4"/>
  <c r="W6" i="4" s="1"/>
  <c r="U7" i="4"/>
  <c r="V6" i="4" s="1"/>
  <c r="AC6" i="4" s="1"/>
  <c r="AM18" i="3"/>
  <c r="AN17" i="3" s="1"/>
  <c r="AM19" i="3"/>
  <c r="AO17" i="3" s="1"/>
  <c r="AN19" i="3"/>
  <c r="AO18" i="3" s="1"/>
  <c r="AM20" i="3"/>
  <c r="AP17" i="3" s="1"/>
  <c r="AN20" i="3"/>
  <c r="AP18" i="3" s="1"/>
  <c r="AO20" i="3"/>
  <c r="AP19" i="3" s="1"/>
  <c r="AL18" i="3"/>
  <c r="AN16" i="3" s="1"/>
  <c r="AL19" i="3"/>
  <c r="AO16" i="3" s="1"/>
  <c r="AL20" i="3"/>
  <c r="AP16" i="3" s="1"/>
  <c r="AC18" i="3"/>
  <c r="AN7" i="3" s="1"/>
  <c r="AD18" i="3"/>
  <c r="AN8" i="3" s="1"/>
  <c r="AE18" i="3"/>
  <c r="AN9" i="3" s="1"/>
  <c r="AF18" i="3"/>
  <c r="AN10" i="3" s="1"/>
  <c r="AG18" i="3"/>
  <c r="AN11" i="3" s="1"/>
  <c r="AH18" i="3"/>
  <c r="AN12" i="3" s="1"/>
  <c r="AI18" i="3"/>
  <c r="AN13" i="3" s="1"/>
  <c r="AJ18" i="3"/>
  <c r="AN14" i="3" s="1"/>
  <c r="AK18" i="3"/>
  <c r="AN15" i="3" s="1"/>
  <c r="AC19" i="3"/>
  <c r="AO7" i="3" s="1"/>
  <c r="AD19" i="3"/>
  <c r="AO8" i="3" s="1"/>
  <c r="AE19" i="3"/>
  <c r="AO9" i="3" s="1"/>
  <c r="AF19" i="3"/>
  <c r="AO10" i="3" s="1"/>
  <c r="AG19" i="3"/>
  <c r="AO11" i="3" s="1"/>
  <c r="AH19" i="3"/>
  <c r="AO12" i="3" s="1"/>
  <c r="AI19" i="3"/>
  <c r="AO13" i="3" s="1"/>
  <c r="AJ19" i="3"/>
  <c r="AO14" i="3" s="1"/>
  <c r="AK19" i="3"/>
  <c r="AO15" i="3" s="1"/>
  <c r="AC20" i="3"/>
  <c r="AD20" i="3"/>
  <c r="AP8" i="3" s="1"/>
  <c r="AE20" i="3"/>
  <c r="AP9" i="3" s="1"/>
  <c r="AF20" i="3"/>
  <c r="AP10" i="3" s="1"/>
  <c r="AG20" i="3"/>
  <c r="AP11" i="3" s="1"/>
  <c r="AH20" i="3"/>
  <c r="AP12" i="3" s="1"/>
  <c r="AI20" i="3"/>
  <c r="AP13" i="3" s="1"/>
  <c r="AJ20" i="3"/>
  <c r="AP14" i="3" s="1"/>
  <c r="AK20" i="3"/>
  <c r="AP15" i="3" s="1"/>
  <c r="AB18" i="3"/>
  <c r="AB19" i="3"/>
  <c r="AB20" i="3"/>
  <c r="AE17" i="3"/>
  <c r="AM9" i="3" s="1"/>
  <c r="AL17" i="3"/>
  <c r="AM16" i="3" s="1"/>
  <c r="AK17" i="3"/>
  <c r="AM15" i="3" s="1"/>
  <c r="AJ17" i="3"/>
  <c r="AM14" i="3" s="1"/>
  <c r="AI17" i="3"/>
  <c r="AM13" i="3" s="1"/>
  <c r="AH17" i="3"/>
  <c r="AM12" i="3" s="1"/>
  <c r="AG17" i="3"/>
  <c r="AM11" i="3" s="1"/>
  <c r="AF17" i="3"/>
  <c r="AM10" i="3" s="1"/>
  <c r="AD17" i="3"/>
  <c r="AM8" i="3" s="1"/>
  <c r="AC17" i="3"/>
  <c r="AM7" i="3" s="1"/>
  <c r="AB17" i="3"/>
  <c r="AK16" i="3"/>
  <c r="AL15" i="3" s="1"/>
  <c r="AJ16" i="3"/>
  <c r="AL14" i="3" s="1"/>
  <c r="AI16" i="3"/>
  <c r="AL13" i="3" s="1"/>
  <c r="AH16" i="3"/>
  <c r="AL12" i="3" s="1"/>
  <c r="AG16" i="3"/>
  <c r="AL11" i="3" s="1"/>
  <c r="AF16" i="3"/>
  <c r="AL10" i="3" s="1"/>
  <c r="AE16" i="3"/>
  <c r="AL9" i="3" s="1"/>
  <c r="AD16" i="3"/>
  <c r="AL8" i="3" s="1"/>
  <c r="AC16" i="3"/>
  <c r="AL7" i="3" s="1"/>
  <c r="AB16" i="3"/>
  <c r="AL6" i="3" s="1"/>
  <c r="AJ15" i="3"/>
  <c r="AK14" i="3" s="1"/>
  <c r="AI15" i="3"/>
  <c r="AK13" i="3" s="1"/>
  <c r="AH15" i="3"/>
  <c r="AK12" i="3" s="1"/>
  <c r="AG15" i="3"/>
  <c r="AK11" i="3" s="1"/>
  <c r="AF15" i="3"/>
  <c r="AK10" i="3" s="1"/>
  <c r="AE15" i="3"/>
  <c r="AK9" i="3" s="1"/>
  <c r="AD15" i="3"/>
  <c r="AK8" i="3" s="1"/>
  <c r="AC15" i="3"/>
  <c r="AK7" i="3" s="1"/>
  <c r="AB15" i="3"/>
  <c r="AI14" i="3"/>
  <c r="AJ13" i="3" s="1"/>
  <c r="AH14" i="3"/>
  <c r="AJ12" i="3" s="1"/>
  <c r="AG14" i="3"/>
  <c r="AJ11" i="3" s="1"/>
  <c r="AF14" i="3"/>
  <c r="AJ10" i="3" s="1"/>
  <c r="AE14" i="3"/>
  <c r="AJ9" i="3" s="1"/>
  <c r="AD14" i="3"/>
  <c r="AJ8" i="3" s="1"/>
  <c r="AC14" i="3"/>
  <c r="AJ7" i="3" s="1"/>
  <c r="AB14" i="3"/>
  <c r="AH13" i="3"/>
  <c r="AI12" i="3" s="1"/>
  <c r="AG13" i="3"/>
  <c r="AI11" i="3" s="1"/>
  <c r="AF13" i="3"/>
  <c r="AI10" i="3" s="1"/>
  <c r="AE13" i="3"/>
  <c r="AI9" i="3" s="1"/>
  <c r="AD13" i="3"/>
  <c r="AI8" i="3" s="1"/>
  <c r="AC13" i="3"/>
  <c r="AI7" i="3" s="1"/>
  <c r="AB13" i="3"/>
  <c r="AG12" i="3"/>
  <c r="AH11" i="3" s="1"/>
  <c r="AF12" i="3"/>
  <c r="AH10" i="3" s="1"/>
  <c r="AE12" i="3"/>
  <c r="AH9" i="3" s="1"/>
  <c r="AD12" i="3"/>
  <c r="AH8" i="3" s="1"/>
  <c r="AC12" i="3"/>
  <c r="AH7" i="3" s="1"/>
  <c r="AB12" i="3"/>
  <c r="AH6" i="3" s="1"/>
  <c r="AF11" i="3"/>
  <c r="AG10" i="3" s="1"/>
  <c r="AE11" i="3"/>
  <c r="AG9" i="3" s="1"/>
  <c r="AD11" i="3"/>
  <c r="AG8" i="3" s="1"/>
  <c r="AC11" i="3"/>
  <c r="AG7" i="3" s="1"/>
  <c r="AB11" i="3"/>
  <c r="AE10" i="3"/>
  <c r="AF9" i="3" s="1"/>
  <c r="AD10" i="3"/>
  <c r="AF8" i="3" s="1"/>
  <c r="AC10" i="3"/>
  <c r="AF7" i="3" s="1"/>
  <c r="AB10" i="3"/>
  <c r="AD9" i="3"/>
  <c r="AE8" i="3" s="1"/>
  <c r="AC9" i="3"/>
  <c r="AE7" i="3" s="1"/>
  <c r="AB9" i="3"/>
  <c r="AC8" i="3"/>
  <c r="AD7" i="3" s="1"/>
  <c r="AB8" i="3"/>
  <c r="AD6" i="3" s="1"/>
  <c r="AB7" i="3"/>
  <c r="AQ19" i="7" l="1"/>
  <c r="U19" i="7" s="1"/>
  <c r="V19" i="7" s="1"/>
  <c r="AQ17" i="7"/>
  <c r="U17" i="7" s="1"/>
  <c r="V17" i="7" s="1"/>
  <c r="AM6" i="7"/>
  <c r="AQ18" i="7"/>
  <c r="U18" i="7" s="1"/>
  <c r="V18" i="7" s="1"/>
  <c r="BW36" i="10"/>
  <c r="AK36" i="10" s="1"/>
  <c r="BV6" i="10"/>
  <c r="BW34" i="10"/>
  <c r="AK34" i="10" s="1"/>
  <c r="BW33" i="10"/>
  <c r="AK33" i="10" s="1"/>
  <c r="BW32" i="10"/>
  <c r="AK32" i="10" s="1"/>
  <c r="BW31" i="10"/>
  <c r="AK31" i="10" s="1"/>
  <c r="BW30" i="10"/>
  <c r="AK30" i="10" s="1"/>
  <c r="BW29" i="10"/>
  <c r="AK29" i="10" s="1"/>
  <c r="BW28" i="10"/>
  <c r="AK28" i="10" s="1"/>
  <c r="BW27" i="10"/>
  <c r="AK27" i="10" s="1"/>
  <c r="BW26" i="10"/>
  <c r="AK26" i="10" s="1"/>
  <c r="BW25" i="10"/>
  <c r="AK25" i="10" s="1"/>
  <c r="BW24" i="10"/>
  <c r="AK24" i="10" s="1"/>
  <c r="BW23" i="10"/>
  <c r="AK23" i="10" s="1"/>
  <c r="BW22" i="10"/>
  <c r="AK22" i="10" s="1"/>
  <c r="BW21" i="10"/>
  <c r="AK21" i="10" s="1"/>
  <c r="BW20" i="10"/>
  <c r="AK20" i="10" s="1"/>
  <c r="BW19" i="10"/>
  <c r="AK19" i="10" s="1"/>
  <c r="BW18" i="10"/>
  <c r="AK18" i="10" s="1"/>
  <c r="BW17" i="10"/>
  <c r="AK17" i="10" s="1"/>
  <c r="BW16" i="10"/>
  <c r="AK16" i="10" s="1"/>
  <c r="BW15" i="10"/>
  <c r="AK15" i="10" s="1"/>
  <c r="BW14" i="10"/>
  <c r="AK14" i="10" s="1"/>
  <c r="BW13" i="10"/>
  <c r="AK13" i="10" s="1"/>
  <c r="BW12" i="10"/>
  <c r="AK12" i="10" s="1"/>
  <c r="BW11" i="10"/>
  <c r="AK11" i="10" s="1"/>
  <c r="BW10" i="10"/>
  <c r="AK10" i="10" s="1"/>
  <c r="BW9" i="10"/>
  <c r="AK9" i="10" s="1"/>
  <c r="BW8" i="10"/>
  <c r="AK8" i="10" s="1"/>
  <c r="BW7" i="10"/>
  <c r="AK7" i="10" s="1"/>
  <c r="X6" i="14"/>
  <c r="Y11" i="14"/>
  <c r="L11" i="14" s="1"/>
  <c r="W6" i="14"/>
  <c r="Y10" i="14"/>
  <c r="L10" i="14" s="1"/>
  <c r="V6" i="14"/>
  <c r="Y9" i="14"/>
  <c r="L9" i="14" s="1"/>
  <c r="Y8" i="14"/>
  <c r="L8" i="14" s="1"/>
  <c r="Y7" i="14"/>
  <c r="AQ20" i="3"/>
  <c r="U20" i="3" s="1"/>
  <c r="AQ19" i="3"/>
  <c r="U19" i="3" s="1"/>
  <c r="AQ18" i="3"/>
  <c r="U18" i="3" s="1"/>
  <c r="AQ15" i="3"/>
  <c r="U15" i="3" s="1"/>
  <c r="AQ14" i="3"/>
  <c r="U14" i="3" s="1"/>
  <c r="AQ13" i="3"/>
  <c r="U13" i="3" s="1"/>
  <c r="AQ11" i="3"/>
  <c r="U11" i="3" s="1"/>
  <c r="AQ10" i="3"/>
  <c r="U10" i="3" s="1"/>
  <c r="AQ9" i="3"/>
  <c r="U9" i="3" s="1"/>
  <c r="AQ7" i="3"/>
  <c r="U7" i="3" s="1"/>
  <c r="AB6" i="13"/>
  <c r="X6" i="13"/>
  <c r="BB6" i="10"/>
  <c r="BO6" i="10"/>
  <c r="AT6" i="10"/>
  <c r="BJ6" i="10"/>
  <c r="BM14" i="10"/>
  <c r="BK6" i="10"/>
  <c r="BN6" i="10"/>
  <c r="BF6" i="10"/>
  <c r="BG6" i="10"/>
  <c r="BQ6" i="10"/>
  <c r="BL6" i="10"/>
  <c r="AU6" i="10"/>
  <c r="BH6" i="10"/>
  <c r="BR6" i="10"/>
  <c r="BS6" i="10"/>
  <c r="AV6" i="10"/>
  <c r="AY6" i="10"/>
  <c r="BT6" i="10"/>
  <c r="BD6" i="10"/>
  <c r="BP6" i="10"/>
  <c r="AZ6" i="10"/>
  <c r="BM6" i="10"/>
  <c r="AR6" i="15"/>
  <c r="AZ6" i="15"/>
  <c r="BE6" i="15"/>
  <c r="BH6" i="15"/>
  <c r="U9" i="9"/>
  <c r="J9" i="9" s="1"/>
  <c r="T6" i="9"/>
  <c r="U6" i="9" s="1"/>
  <c r="J6" i="9" s="1"/>
  <c r="AH6" i="7"/>
  <c r="AI6" i="7"/>
  <c r="AE14" i="5"/>
  <c r="O14" i="5" s="1"/>
  <c r="AE13" i="5"/>
  <c r="O13" i="5" s="1"/>
  <c r="AE12" i="5"/>
  <c r="O12" i="5" s="1"/>
  <c r="AE11" i="5"/>
  <c r="O11" i="5" s="1"/>
  <c r="AE10" i="5"/>
  <c r="O10" i="5" s="1"/>
  <c r="AE9" i="5"/>
  <c r="O9" i="5" s="1"/>
  <c r="AE8" i="5"/>
  <c r="O8" i="5" s="1"/>
  <c r="AE7" i="5"/>
  <c r="O7" i="5" s="1"/>
  <c r="X6" i="5"/>
  <c r="Y6" i="5"/>
  <c r="AB6" i="5"/>
  <c r="AC6" i="5"/>
  <c r="AD6" i="5"/>
  <c r="AQ20" i="1"/>
  <c r="U20" i="1" s="1"/>
  <c r="AP6" i="1"/>
  <c r="AQ19" i="1"/>
  <c r="U19" i="1" s="1"/>
  <c r="AQ18" i="1"/>
  <c r="U18" i="1" s="1"/>
  <c r="AQ17" i="1"/>
  <c r="U17" i="1" s="1"/>
  <c r="AC13" i="4"/>
  <c r="N13" i="4" s="1"/>
  <c r="AB6" i="4"/>
  <c r="AC12" i="4"/>
  <c r="N12" i="4" s="1"/>
  <c r="AC11" i="4"/>
  <c r="N11" i="4" s="1"/>
  <c r="AC10" i="4"/>
  <c r="N10" i="4" s="1"/>
  <c r="AC9" i="4"/>
  <c r="N9" i="4" s="1"/>
  <c r="AC8" i="4"/>
  <c r="N8" i="4" s="1"/>
  <c r="AC7" i="4"/>
  <c r="N7" i="4" s="1"/>
  <c r="T6" i="14"/>
  <c r="Y6" i="14" s="1"/>
  <c r="AY6" i="15"/>
  <c r="BB6" i="15"/>
  <c r="AP6" i="15"/>
  <c r="BG14" i="15"/>
  <c r="AS6" i="15"/>
  <c r="AU6" i="15"/>
  <c r="AW6" i="15"/>
  <c r="BF6" i="15"/>
  <c r="BJ6" i="15"/>
  <c r="BI6" i="15"/>
  <c r="AM6" i="15"/>
  <c r="AE6" i="15" s="1"/>
  <c r="AF6" i="15" s="1"/>
  <c r="AO6" i="15"/>
  <c r="AX6" i="15"/>
  <c r="AE21" i="15"/>
  <c r="AQ6" i="15"/>
  <c r="BG6" i="15"/>
  <c r="AE8" i="15"/>
  <c r="AF8" i="15" s="1"/>
  <c r="AE24" i="15"/>
  <c r="AF24" i="15" s="1"/>
  <c r="AT6" i="15"/>
  <c r="AV6" i="15"/>
  <c r="AI10" i="6"/>
  <c r="AJ10" i="6"/>
  <c r="AB6" i="6"/>
  <c r="U6" i="14"/>
  <c r="AA6" i="13"/>
  <c r="Y6" i="13"/>
  <c r="W6" i="13"/>
  <c r="V6" i="13"/>
  <c r="AC6" i="13" s="1"/>
  <c r="N6" i="13" s="1"/>
  <c r="O6" i="13" s="1"/>
  <c r="Z6" i="13"/>
  <c r="AP6" i="12"/>
  <c r="AS6" i="12"/>
  <c r="BA6" i="12"/>
  <c r="BG6" i="12"/>
  <c r="AD16" i="12"/>
  <c r="AE16" i="12" s="1"/>
  <c r="BC6" i="12"/>
  <c r="AN6" i="12"/>
  <c r="BD6" i="12"/>
  <c r="BH6" i="12"/>
  <c r="AD7" i="12"/>
  <c r="AE7" i="12" s="1"/>
  <c r="AM6" i="12"/>
  <c r="AG8" i="11"/>
  <c r="P8" i="11" s="1"/>
  <c r="Q8" i="11" s="1"/>
  <c r="AC6" i="11"/>
  <c r="AD6" i="11"/>
  <c r="Z6" i="11"/>
  <c r="AE6" i="11"/>
  <c r="X6" i="11"/>
  <c r="AG6" i="11" s="1"/>
  <c r="P6" i="11" s="1"/>
  <c r="Q6" i="11" s="1"/>
  <c r="AB6" i="11"/>
  <c r="AF6" i="11"/>
  <c r="AF10" i="11"/>
  <c r="AX6" i="10"/>
  <c r="BC6" i="10"/>
  <c r="AS6" i="10"/>
  <c r="AW6" i="10"/>
  <c r="BA6" i="10"/>
  <c r="BE6" i="10"/>
  <c r="BI6" i="10"/>
  <c r="U8" i="9"/>
  <c r="J8" i="9" s="1"/>
  <c r="AC6" i="8"/>
  <c r="AG6" i="8"/>
  <c r="AL6" i="8"/>
  <c r="S10" i="8"/>
  <c r="T10" i="8" s="1"/>
  <c r="AH6" i="8"/>
  <c r="AK6" i="8"/>
  <c r="S8" i="8"/>
  <c r="T8" i="8" s="1"/>
  <c r="S12" i="8"/>
  <c r="T12" i="8" s="1"/>
  <c r="S16" i="8"/>
  <c r="T16" i="8" s="1"/>
  <c r="AA6" i="8"/>
  <c r="S6" i="8" s="1"/>
  <c r="T6" i="8" s="1"/>
  <c r="AE6" i="8"/>
  <c r="AI6" i="8"/>
  <c r="AJ6" i="7"/>
  <c r="AE6" i="7"/>
  <c r="AF6" i="7"/>
  <c r="AL6" i="7"/>
  <c r="AC6" i="7"/>
  <c r="U6" i="7" s="1"/>
  <c r="V6" i="7" s="1"/>
  <c r="AG6" i="7"/>
  <c r="AK6" i="7"/>
  <c r="AO6" i="7"/>
  <c r="Z6" i="6"/>
  <c r="AK6" i="6" s="1"/>
  <c r="R6" i="6" s="1"/>
  <c r="S6" i="6" s="1"/>
  <c r="AD6" i="6"/>
  <c r="AH6" i="6"/>
  <c r="Z6" i="5"/>
  <c r="W6" i="5"/>
  <c r="AA6" i="5"/>
  <c r="Y6" i="4"/>
  <c r="Z6" i="4"/>
  <c r="AO6" i="3"/>
  <c r="AP6" i="3"/>
  <c r="AP7" i="3"/>
  <c r="AQ17" i="3"/>
  <c r="U17" i="3" s="1"/>
  <c r="AN6" i="3"/>
  <c r="AI6" i="3"/>
  <c r="AC6" i="3"/>
  <c r="AK6" i="3"/>
  <c r="AM6" i="3"/>
  <c r="AG6" i="3"/>
  <c r="AE6" i="3"/>
  <c r="AF6" i="3"/>
  <c r="AJ6" i="3"/>
  <c r="AQ8" i="3"/>
  <c r="U8" i="3" s="1"/>
  <c r="AQ12" i="3"/>
  <c r="U12" i="3" s="1"/>
  <c r="AQ16" i="3"/>
  <c r="U16" i="3" s="1"/>
  <c r="K8" i="9" l="1"/>
  <c r="AL26" i="10"/>
  <c r="BW6" i="10"/>
  <c r="AK6" i="10" s="1"/>
  <c r="AL6" i="10" s="1"/>
  <c r="V19" i="3"/>
  <c r="V7" i="3"/>
  <c r="AQ6" i="3"/>
  <c r="U6" i="3" s="1"/>
  <c r="V6" i="3" s="1"/>
  <c r="K6" i="9"/>
  <c r="K9" i="9"/>
  <c r="K7" i="9"/>
  <c r="P8" i="5"/>
  <c r="P7" i="5"/>
  <c r="AE6" i="5"/>
  <c r="O6" i="5" s="1"/>
  <c r="P6" i="5" s="1"/>
  <c r="N6" i="4"/>
  <c r="O6" i="4" s="1"/>
  <c r="L6" i="14"/>
  <c r="M6" i="14" s="1"/>
  <c r="L7" i="14"/>
  <c r="O10" i="4"/>
  <c r="O11" i="4"/>
  <c r="AL12" i="10" l="1"/>
  <c r="AL17" i="10"/>
  <c r="AL21" i="10"/>
  <c r="AL28" i="10"/>
  <c r="AL11" i="10"/>
  <c r="AL34" i="10"/>
  <c r="AL19" i="10"/>
  <c r="AL27" i="10"/>
  <c r="AL9" i="10"/>
  <c r="AL18" i="10"/>
  <c r="AL25" i="10"/>
  <c r="AL22" i="10"/>
  <c r="AL36" i="10"/>
  <c r="AL35" i="10"/>
  <c r="AL31" i="10"/>
  <c r="AL32" i="10"/>
  <c r="AL15" i="10"/>
  <c r="AL20" i="10"/>
  <c r="AL33" i="10"/>
  <c r="AL30" i="10"/>
  <c r="AL16" i="10"/>
  <c r="AL24" i="10"/>
  <c r="AL10" i="10"/>
  <c r="AL13" i="10"/>
  <c r="AL23" i="10"/>
  <c r="AL14" i="10"/>
  <c r="AL29" i="10"/>
  <c r="AL8" i="10"/>
  <c r="AL7" i="10"/>
  <c r="V14" i="3"/>
  <c r="V15" i="3"/>
  <c r="V16" i="3"/>
  <c r="V9" i="3"/>
  <c r="V13" i="3"/>
  <c r="V11" i="3"/>
  <c r="V10" i="3"/>
  <c r="V18" i="3"/>
  <c r="V12" i="3"/>
  <c r="V17" i="3"/>
  <c r="V8" i="3"/>
  <c r="V20" i="3"/>
  <c r="P14" i="5"/>
  <c r="P9" i="5"/>
  <c r="P10" i="5"/>
  <c r="P11" i="5"/>
  <c r="P13" i="5"/>
  <c r="P12" i="5"/>
  <c r="O12" i="4"/>
  <c r="M11" i="14"/>
  <c r="M8" i="14"/>
  <c r="M9" i="14"/>
  <c r="M7" i="14"/>
  <c r="M10" i="14"/>
  <c r="O8" i="4"/>
  <c r="O9" i="4"/>
  <c r="O13" i="4"/>
  <c r="O7" i="4"/>
  <c r="AL15" i="1" l="1"/>
  <c r="AJ16" i="1"/>
  <c r="AL14" i="1" s="1"/>
  <c r="AI16" i="1"/>
  <c r="AL13" i="1" s="1"/>
  <c r="AH16" i="1"/>
  <c r="AL12" i="1" s="1"/>
  <c r="AG16" i="1"/>
  <c r="AL11" i="1" s="1"/>
  <c r="AF16" i="1"/>
  <c r="AL10" i="1" s="1"/>
  <c r="AE16" i="1"/>
  <c r="AL9" i="1" s="1"/>
  <c r="AD16" i="1"/>
  <c r="AL8" i="1" s="1"/>
  <c r="AC16" i="1"/>
  <c r="AL7" i="1" s="1"/>
  <c r="AB16" i="1"/>
  <c r="AL6" i="1" s="1"/>
  <c r="AJ15" i="1"/>
  <c r="AK14" i="1" s="1"/>
  <c r="AI15" i="1"/>
  <c r="AK13" i="1" s="1"/>
  <c r="AH15" i="1"/>
  <c r="AG15" i="1"/>
  <c r="AF15" i="1"/>
  <c r="AE15" i="1"/>
  <c r="AK9" i="1" s="1"/>
  <c r="AD15" i="1"/>
  <c r="AK8" i="1" s="1"/>
  <c r="AC15" i="1"/>
  <c r="AK7" i="1" s="1"/>
  <c r="AB15" i="1"/>
  <c r="AI14" i="1"/>
  <c r="AJ13" i="1" s="1"/>
  <c r="AH14" i="1"/>
  <c r="AJ12" i="1" s="1"/>
  <c r="AG14" i="1"/>
  <c r="AJ11" i="1" s="1"/>
  <c r="AF14" i="1"/>
  <c r="AJ10" i="1" s="1"/>
  <c r="AE14" i="1"/>
  <c r="AJ9" i="1" s="1"/>
  <c r="AD14" i="1"/>
  <c r="AJ8" i="1" s="1"/>
  <c r="AC14" i="1"/>
  <c r="AJ7" i="1" s="1"/>
  <c r="AB14" i="1"/>
  <c r="AJ6" i="1" s="1"/>
  <c r="AH13" i="1"/>
  <c r="AI12" i="1" s="1"/>
  <c r="AG13" i="1"/>
  <c r="AI11" i="1" s="1"/>
  <c r="AF13" i="1"/>
  <c r="AI10" i="1" s="1"/>
  <c r="AE13" i="1"/>
  <c r="AI9" i="1" s="1"/>
  <c r="AD13" i="1"/>
  <c r="AI8" i="1" s="1"/>
  <c r="AC13" i="1"/>
  <c r="AI7" i="1" s="1"/>
  <c r="AB13" i="1"/>
  <c r="AG12" i="1"/>
  <c r="AH11" i="1" s="1"/>
  <c r="AF12" i="1"/>
  <c r="AH10" i="1" s="1"/>
  <c r="AE12" i="1"/>
  <c r="AH9" i="1" s="1"/>
  <c r="AD12" i="1"/>
  <c r="AH8" i="1" s="1"/>
  <c r="AC12" i="1"/>
  <c r="AH7" i="1" s="1"/>
  <c r="AB12" i="1"/>
  <c r="AH6" i="1" s="1"/>
  <c r="AF11" i="1"/>
  <c r="AG10" i="1" s="1"/>
  <c r="AE11" i="1"/>
  <c r="AG9" i="1" s="1"/>
  <c r="AD11" i="1"/>
  <c r="AG8" i="1" s="1"/>
  <c r="AC11" i="1"/>
  <c r="AG7" i="1" s="1"/>
  <c r="AB11" i="1"/>
  <c r="AE10" i="1"/>
  <c r="AF9" i="1" s="1"/>
  <c r="AD10" i="1"/>
  <c r="AF8" i="1" s="1"/>
  <c r="AC10" i="1"/>
  <c r="AF7" i="1" s="1"/>
  <c r="AB10" i="1"/>
  <c r="AF6" i="1" s="1"/>
  <c r="AD9" i="1"/>
  <c r="AE8" i="1" s="1"/>
  <c r="AC9" i="1"/>
  <c r="AE7" i="1" s="1"/>
  <c r="AB9" i="1"/>
  <c r="AC8" i="1"/>
  <c r="AD7" i="1" s="1"/>
  <c r="AB8" i="1"/>
  <c r="AB7" i="1"/>
  <c r="AQ7" i="1" s="1"/>
  <c r="U7" i="1" l="1"/>
  <c r="AD6" i="1"/>
  <c r="AQ8" i="1"/>
  <c r="U8" i="1" s="1"/>
  <c r="AK10" i="1"/>
  <c r="AQ10" i="1" s="1"/>
  <c r="U10" i="1" s="1"/>
  <c r="AQ16" i="1"/>
  <c r="U16" i="1" s="1"/>
  <c r="AQ15" i="1"/>
  <c r="U15" i="1" s="1"/>
  <c r="AK11" i="1"/>
  <c r="AQ11" i="1" s="1"/>
  <c r="U11" i="1" s="1"/>
  <c r="AQ13" i="1"/>
  <c r="U13" i="1" s="1"/>
  <c r="AQ9" i="1"/>
  <c r="U9" i="1" s="1"/>
  <c r="AI6" i="1"/>
  <c r="AE6" i="1"/>
  <c r="AQ14" i="1"/>
  <c r="U14" i="1" s="1"/>
  <c r="AK12" i="1"/>
  <c r="AQ12" i="1" s="1"/>
  <c r="U12" i="1" s="1"/>
  <c r="AC6" i="1"/>
  <c r="AQ6" i="1" s="1"/>
  <c r="AG6" i="1"/>
  <c r="AK6" i="1"/>
  <c r="U6" i="1" l="1"/>
  <c r="V6" i="1" s="1"/>
  <c r="V7" i="1"/>
  <c r="V19" i="1" l="1"/>
  <c r="V20" i="1"/>
  <c r="V17" i="1"/>
  <c r="V18" i="1"/>
  <c r="V16" i="1"/>
  <c r="V15" i="1"/>
  <c r="V14" i="1"/>
  <c r="V12" i="1"/>
  <c r="V9" i="1"/>
  <c r="V13" i="1"/>
  <c r="V10" i="1"/>
  <c r="V8" i="1"/>
  <c r="V11" i="1"/>
</calcChain>
</file>

<file path=xl/sharedStrings.xml><?xml version="1.0" encoding="utf-8"?>
<sst xmlns="http://schemas.openxmlformats.org/spreadsheetml/2006/main" count="597" uniqueCount="441">
  <si>
    <t>COMPETENCY PRIORITIZATION TOOL: INSTRUCTIONS</t>
  </si>
  <si>
    <t>FRONTLINE TECHNICAL DOMAINS</t>
  </si>
  <si>
    <t>Domain 1: Foundational Knowledge and Skills</t>
  </si>
  <si>
    <t>Domain 2: Surveillance Systems</t>
  </si>
  <si>
    <t>Domain 3: Field Investigations</t>
  </si>
  <si>
    <t>Domain 4: Disease Management</t>
  </si>
  <si>
    <t>Domain 5: Laboratory Capacity</t>
  </si>
  <si>
    <t>Domain 6: Infection Prevention and Control (IPC), Biosafety and Biosecurity</t>
  </si>
  <si>
    <t>Domain 7: Preparedness and Response</t>
  </si>
  <si>
    <t>Domain 8: Epidemiological Studies</t>
  </si>
  <si>
    <t>Domain 9: Data Management, Biostatistics, and Informatics</t>
  </si>
  <si>
    <t>CORE COMPETENCIES</t>
  </si>
  <si>
    <t>OPTIONAL COMPETENCIES: PRIORITIZATION TOOL</t>
  </si>
  <si>
    <t>Competency</t>
  </si>
  <si>
    <t>Score</t>
  </si>
  <si>
    <t>Rank</t>
  </si>
  <si>
    <t>Scale</t>
  </si>
  <si>
    <t>Column1</t>
  </si>
  <si>
    <t>Much more important</t>
  </si>
  <si>
    <t>More important</t>
  </si>
  <si>
    <t>Equally important</t>
  </si>
  <si>
    <t>Less important</t>
  </si>
  <si>
    <t>Much less important</t>
  </si>
  <si>
    <t>Frontline Technical Domain 2: Surveillance Systems</t>
  </si>
  <si>
    <t>2.1.5</t>
  </si>
  <si>
    <t>2.1.6</t>
  </si>
  <si>
    <t>2.1.7</t>
  </si>
  <si>
    <t>2.2.2</t>
  </si>
  <si>
    <t>2.3.1</t>
  </si>
  <si>
    <t>2.4.1</t>
  </si>
  <si>
    <t>2.4.2</t>
  </si>
  <si>
    <t>Frontline Technical Domain 3: Field Investigations</t>
  </si>
  <si>
    <t>3.1.1</t>
  </si>
  <si>
    <t>3.1.2</t>
  </si>
  <si>
    <t>3.2.1</t>
  </si>
  <si>
    <t>3.2.2</t>
  </si>
  <si>
    <t>3.2.4</t>
  </si>
  <si>
    <t>3.2.5</t>
  </si>
  <si>
    <t>3.2.7</t>
  </si>
  <si>
    <t>3.4.1</t>
  </si>
  <si>
    <t xml:space="preserve">3.1.1 Support in the design of field investigations </t>
  </si>
  <si>
    <t>3.1.2 Explain the One Health approach</t>
  </si>
  <si>
    <t>Frontline Technical Domain 4: Disease Management</t>
  </si>
  <si>
    <t>4.2.1</t>
  </si>
  <si>
    <t>4.3.1</t>
  </si>
  <si>
    <t>4.5.1</t>
  </si>
  <si>
    <t>4.5.2</t>
  </si>
  <si>
    <t xml:space="preserve">4.2.1 Define AMR and distinguish between intrinsic and acquired resistance </t>
  </si>
  <si>
    <t>4.3.1 Summarize the basics of vaccine immunology </t>
  </si>
  <si>
    <t>Frontline Technical Domain 5: Laboratory Capacity</t>
  </si>
  <si>
    <t>5.2.2</t>
  </si>
  <si>
    <t>5.3.1</t>
  </si>
  <si>
    <t>5.4.2</t>
  </si>
  <si>
    <t>5.4.3</t>
  </si>
  <si>
    <t>5.4.4</t>
  </si>
  <si>
    <t xml:space="preserve">5.3.1 Explain the complementary contributions of field epidemiology and laboratory diagnostics to construct case definitions   </t>
  </si>
  <si>
    <t>6.1.4</t>
  </si>
  <si>
    <t>6.2.3</t>
  </si>
  <si>
    <t>6.2.5</t>
  </si>
  <si>
    <t>6.3.2</t>
  </si>
  <si>
    <t>Frontline Technical Domain 7: Preparedness and Response</t>
  </si>
  <si>
    <t>7.1.2</t>
  </si>
  <si>
    <t>7.1.4</t>
  </si>
  <si>
    <t>7.2.3</t>
  </si>
  <si>
    <t>7.2.4</t>
  </si>
  <si>
    <t>7.3.1</t>
  </si>
  <si>
    <t>7.3.2</t>
  </si>
  <si>
    <t>7.3.3</t>
  </si>
  <si>
    <t>7.6.1</t>
  </si>
  <si>
    <t>7.6.2</t>
  </si>
  <si>
    <t xml:space="preserve">7.3.2 Describe the different levels and triggers for border restrictions during an emergency </t>
  </si>
  <si>
    <t xml:space="preserve">7.3.3 Describe how trade and travel restrictions can be used as a tool for disease control </t>
  </si>
  <si>
    <t xml:space="preserve">7.6.1 Describe the principles of risk communication </t>
  </si>
  <si>
    <t>8.1.2</t>
  </si>
  <si>
    <t>8.1.3</t>
  </si>
  <si>
    <t>8.1.4</t>
  </si>
  <si>
    <t>8.2.2</t>
  </si>
  <si>
    <t>8.2.3</t>
  </si>
  <si>
    <t>8.2.4</t>
  </si>
  <si>
    <t>8.2.5</t>
  </si>
  <si>
    <t>8.3.2</t>
  </si>
  <si>
    <t>8.3.3</t>
  </si>
  <si>
    <t xml:space="preserve">8.2.1  Contribute to local design and planning of epidemiological studies </t>
  </si>
  <si>
    <t xml:space="preserve">8.2.2  Apply knowledge of data types </t>
  </si>
  <si>
    <t xml:space="preserve">8.2.3  Apply knowledge of sampling methods </t>
  </si>
  <si>
    <t xml:space="preserve">8.2.4  Describe and plan how to collect high quality data to investigators including data collection tools and other field materials  </t>
  </si>
  <si>
    <t>9.2.1</t>
  </si>
  <si>
    <t xml:space="preserve">9.2.1  Describe how health data can be collected, assessed, coded, and reported through paper and electronic system </t>
  </si>
  <si>
    <t>Frontline Technical Domain 10: Ecosystem Health</t>
  </si>
  <si>
    <t>10.1.1</t>
  </si>
  <si>
    <t>10.1.2</t>
  </si>
  <si>
    <t>10.1.3</t>
  </si>
  <si>
    <t>10.1.4</t>
  </si>
  <si>
    <t>10.1.5</t>
  </si>
  <si>
    <t>10.1.6</t>
  </si>
  <si>
    <t>10.1.7</t>
  </si>
  <si>
    <t>10.2.1</t>
  </si>
  <si>
    <t>10.2.2</t>
  </si>
  <si>
    <t>10.3.1</t>
  </si>
  <si>
    <t>10.3.2</t>
  </si>
  <si>
    <t>10.3.3</t>
  </si>
  <si>
    <t>10.3.5</t>
  </si>
  <si>
    <t>10.3.6</t>
  </si>
  <si>
    <t>10.4.2</t>
  </si>
  <si>
    <t>10.4.3</t>
  </si>
  <si>
    <t>10.4.4</t>
  </si>
  <si>
    <t>10.4.5</t>
  </si>
  <si>
    <t>10.5.2</t>
  </si>
  <si>
    <t>10.5.3</t>
  </si>
  <si>
    <t>10.5.4</t>
  </si>
  <si>
    <t>10.5.5</t>
  </si>
  <si>
    <t>10.1.1 Explain the role of biodiversity in sustaining economically and culturally important resources such as clean air, fresh water, pollination, soil fertility, pest and disease control, and wildlife recreation opportunities using local case studies</t>
  </si>
  <si>
    <t>10.1.4 Explain how diversity is a key pillar of pest and disease resistance, in natural and managed ecosystems using local examples</t>
  </si>
  <si>
    <t>10.3.1 Describe air, water and soil cycles and mechanisms for accumulation of contaminants</t>
  </si>
  <si>
    <t>Frontline Technical Domain 11: Leadership and Management</t>
  </si>
  <si>
    <t>11.1.1</t>
  </si>
  <si>
    <t>11.1.2</t>
  </si>
  <si>
    <t>11.1.3</t>
  </si>
  <si>
    <t>11.1.4</t>
  </si>
  <si>
    <t>11.1.5</t>
  </si>
  <si>
    <t>11.1.7</t>
  </si>
  <si>
    <t>11.1.9</t>
  </si>
  <si>
    <t>11.2.1</t>
  </si>
  <si>
    <t>11.2.2</t>
  </si>
  <si>
    <t>11.2.3</t>
  </si>
  <si>
    <t>11.2.4</t>
  </si>
  <si>
    <t>11.2.5</t>
  </si>
  <si>
    <t>11.3.1</t>
  </si>
  <si>
    <t>11.3.2</t>
  </si>
  <si>
    <t>11.4.1</t>
  </si>
  <si>
    <t>11.4.2</t>
  </si>
  <si>
    <t>11.5.1</t>
  </si>
  <si>
    <t>11.5.2</t>
  </si>
  <si>
    <t>11.5.3</t>
  </si>
  <si>
    <t>11.5.4</t>
  </si>
  <si>
    <t>11.5.5</t>
  </si>
  <si>
    <t>11.5.6</t>
  </si>
  <si>
    <t>11.5.7</t>
  </si>
  <si>
    <t>11.6.3</t>
  </si>
  <si>
    <t>11.6.4</t>
  </si>
  <si>
    <t>11.6.5</t>
  </si>
  <si>
    <t>11.6.6</t>
  </si>
  <si>
    <t xml:space="preserve">11.1.2  Use listening skills to understand different perspectives and priorities </t>
  </si>
  <si>
    <t xml:space="preserve">11.1.3  Use communication skills to clearly and routinely express thoughts and ideas </t>
  </si>
  <si>
    <t xml:space="preserve">11.1.4  Collaborate and work within and across networks </t>
  </si>
  <si>
    <t xml:space="preserve">11.1.5  Act in contexts of volatility, uncertainty, complexity and ambiguity </t>
  </si>
  <si>
    <t xml:space="preserve">11.2.1  Apply the principles of good leadership in policy development and implementation </t>
  </si>
  <si>
    <t>11.3.1  Provide and support an environment of trust and learning within an organization and across networks</t>
  </si>
  <si>
    <t xml:space="preserve">11.3.2  Describe the formal and informal organizational structures of the local community and identify local facilitators </t>
  </si>
  <si>
    <t xml:space="preserve">11.5.1  Explain how cross-sectoral collaboration allows for shared use of limited resources to improve health outcomes </t>
  </si>
  <si>
    <t xml:space="preserve">11.5.7  Perform basic accounting and follow financial management principles </t>
  </si>
  <si>
    <t>Frontline Technical Domain 12: Communication and Community Engagement</t>
  </si>
  <si>
    <t>12.1.2</t>
  </si>
  <si>
    <t>12.1.3</t>
  </si>
  <si>
    <t>12.2.1</t>
  </si>
  <si>
    <t>12.2.2</t>
  </si>
  <si>
    <t>12.2.3</t>
  </si>
  <si>
    <t>12.4.1</t>
  </si>
  <si>
    <t>12.4.2</t>
  </si>
  <si>
    <t>12.4.3</t>
  </si>
  <si>
    <t xml:space="preserve">12.2.1  Identify key messages for an effective written communication </t>
  </si>
  <si>
    <t xml:space="preserve">12.2.3  Contribute to the preparation of written documents for different target audiences (e.g., press releases, briefing notes; concept notes, fact sheets, etc.) </t>
  </si>
  <si>
    <t xml:space="preserve">12.4.3  Support the event organization team providing technical contributions before (dissemination of information through different media) and during the event (e.g., as contact point for participants) </t>
  </si>
  <si>
    <t>Frontline Technical Domain 13: Training</t>
  </si>
  <si>
    <t>13.1.1</t>
  </si>
  <si>
    <t>13.1.2</t>
  </si>
  <si>
    <t>13.1.3</t>
  </si>
  <si>
    <t>13.1.4</t>
  </si>
  <si>
    <t>13.1.5</t>
  </si>
  <si>
    <t>13.1.6</t>
  </si>
  <si>
    <t>13.2.1</t>
  </si>
  <si>
    <t>13.2.2</t>
  </si>
  <si>
    <t>13.2.3</t>
  </si>
  <si>
    <t>13.2.4</t>
  </si>
  <si>
    <t>13.2.5</t>
  </si>
  <si>
    <t>13.3.1</t>
  </si>
  <si>
    <t>13.3.2</t>
  </si>
  <si>
    <t>13.3.4</t>
  </si>
  <si>
    <t>13.3.5</t>
  </si>
  <si>
    <t>13.3.6</t>
  </si>
  <si>
    <t>13.4.1</t>
  </si>
  <si>
    <t>13.4.2</t>
  </si>
  <si>
    <t>13.5.1</t>
  </si>
  <si>
    <t>13.5.2</t>
  </si>
  <si>
    <t>13.5.3</t>
  </si>
  <si>
    <t>13.5.4</t>
  </si>
  <si>
    <t>13.5.5</t>
  </si>
  <si>
    <t>Frontline Technical Domain 14: Ethics</t>
  </si>
  <si>
    <t>14.2.1</t>
  </si>
  <si>
    <t>14.2.2</t>
  </si>
  <si>
    <t>14.2.3</t>
  </si>
  <si>
    <t>14.2.4</t>
  </si>
  <si>
    <t>14.3.2</t>
  </si>
  <si>
    <t>14.4.1</t>
  </si>
  <si>
    <t>1.2.1</t>
  </si>
  <si>
    <t>1.2.2</t>
  </si>
  <si>
    <t>1.2.3</t>
  </si>
  <si>
    <t>FRONTLINE FUNCTIONAL DOMAINS</t>
  </si>
  <si>
    <t>Domain 11: Leadership and Management</t>
  </si>
  <si>
    <t>Domain 12: Communication and Community Engagement</t>
  </si>
  <si>
    <t>Domain 13: Training</t>
  </si>
  <si>
    <t>Domain 14: Ethics</t>
  </si>
  <si>
    <t>1.5.1 Guide One Health coordination at the local level</t>
  </si>
  <si>
    <t>1.5.1</t>
  </si>
  <si>
    <t>1.9.1</t>
  </si>
  <si>
    <t>1.7.1 List sourced of information for local animal and human population data</t>
  </si>
  <si>
    <t>1.7.1</t>
  </si>
  <si>
    <t xml:space="preserve"> </t>
  </si>
  <si>
    <t>Frontline Technical Domain 1: Foundational Knowledge and Skills</t>
  </si>
  <si>
    <t>2.1.1 Define what a surveillance system is including its structural and functional components and interactions</t>
  </si>
  <si>
    <t>2.1.1</t>
  </si>
  <si>
    <t>2.1.2 Describe the One Health aspects of surveillance systems (coordination and integration of surveillance activities between multiple sectors)</t>
  </si>
  <si>
    <t>2.1.2</t>
  </si>
  <si>
    <t>2.1.3 Describe types of surveillance (e.g., indicator-based, event-based), and types of surveillance systems (e.g., sentinel hospital, lab, risk-based, etc.)</t>
  </si>
  <si>
    <t>2.1.3</t>
  </si>
  <si>
    <t>2.1.5 Define attributes (e.g., timeliness, sensitivity) of a functional surveillance system</t>
  </si>
  <si>
    <t>2.1.6 Describe the roles and responsibilities of a surveillance system</t>
  </si>
  <si>
    <t>2.1.7 Describe the surveillance cycle, including administration levels and reporting flows</t>
  </si>
  <si>
    <t>2.1.4</t>
  </si>
  <si>
    <t>2.2.1 Follow reporting channels to report cases and signals to appropriate administration levels</t>
  </si>
  <si>
    <t>2.2.2 Use diverse sources of information for event-based surveillance</t>
  </si>
  <si>
    <t>2.2.1</t>
  </si>
  <si>
    <t>2.3.2 Describe and identify trends, patterns and thresholds of priority diseases</t>
  </si>
  <si>
    <t>2.3.2</t>
  </si>
  <si>
    <t>2.4.1 Produce surveillance summary bulletins and reports</t>
  </si>
  <si>
    <t>2.4.2 Report to next administration level</t>
  </si>
  <si>
    <t>2.4.3 Apply recommendations from the feedback of the higher administration levels</t>
  </si>
  <si>
    <t>2.4.3</t>
  </si>
  <si>
    <t>2.6.1</t>
  </si>
  <si>
    <t>2.6.1 Support the design of surveillance systems using knowledge of the local context, key stakeholders, human resource availability and field logistics</t>
  </si>
  <si>
    <t xml:space="preserve">3.1.3 Communicate with other stakeholders collecting other samples during the same outbreak </t>
  </si>
  <si>
    <t xml:space="preserve">3.1.4 Identify cultural practices and beliefs on approaches to disease management </t>
  </si>
  <si>
    <t>3.1.3</t>
  </si>
  <si>
    <t>3.1.4</t>
  </si>
  <si>
    <t>3.1.5</t>
  </si>
  <si>
    <t>3.2.1 Support coordination among all groups involved in investigations and share investigation progress</t>
  </si>
  <si>
    <t>3.2.2 Establish and report the existence of an outbreak</t>
  </si>
  <si>
    <t xml:space="preserve">3.2.4 Conduct active/passive case finding/case investigation </t>
  </si>
  <si>
    <t>3.2.5 Use participatory methods for case finding and data collection</t>
  </si>
  <si>
    <t>3.2.6 Collect information on environmental factors</t>
  </si>
  <si>
    <t>3.2.7 Explain the use of value chains in an outbreak investigation</t>
  </si>
  <si>
    <t>3.2.3</t>
  </si>
  <si>
    <t>3.2.6</t>
  </si>
  <si>
    <t>3.3.1 Interpret diagnostic test results of samples submitted to the laboratory</t>
  </si>
  <si>
    <t>3.3.2 Relate lab results to case categories</t>
  </si>
  <si>
    <t>3.3.1</t>
  </si>
  <si>
    <t>3.3.2</t>
  </si>
  <si>
    <t>3.4.1 Recommend disease prevention and control measures</t>
  </si>
  <si>
    <t>4.2.2 Interpret common laboratory results for identification of antimicrobial susceptibility</t>
  </si>
  <si>
    <t xml:space="preserve">4.3.2 Relate the difference between sterilizing and non-sterilizing immunity </t>
  </si>
  <si>
    <t>4.4.1 Describe local food customs including social and cultural practices</t>
  </si>
  <si>
    <t>4.5.2 Propose ways to mitigate disease risk in the face of mobility and movement</t>
  </si>
  <si>
    <t>4.5.1 Describe reasons for mobility of people and animals and potential impacts on spread of disease</t>
  </si>
  <si>
    <t>4.1.1</t>
  </si>
  <si>
    <t>4.3.2</t>
  </si>
  <si>
    <t>4.4.1</t>
  </si>
  <si>
    <t xml:space="preserve">5.1.1 Implement a risk management plan for safe and humane specimen collection, handling, labeling, storage, and transportation including cold chain and appropriate protocols for packaging specimens for transport and biological waste disposal (e.g., needles) </t>
  </si>
  <si>
    <t>5.1.1</t>
  </si>
  <si>
    <t>5.2.1 Describe the advantages and disadvantages of different types of diagnostic tests and when they should be applied</t>
  </si>
  <si>
    <t>5.2.1</t>
  </si>
  <si>
    <t xml:space="preserve">5.2.2 Describe the causes of false negative and false positive results and their impact on the interpretation of test results  </t>
  </si>
  <si>
    <t>5.3.2 Describe the different organizational structures of field epidemiology and laboratory diagnostic services</t>
  </si>
  <si>
    <t>5.3.2</t>
  </si>
  <si>
    <t xml:space="preserve">5.4.1 Conduct univariable analysis and display of secondary laboratory data including basic spatial and temporal trends according to person/animal-place-time </t>
  </si>
  <si>
    <t xml:space="preserve">5.4.2 Incorporate laboratory data in epidemiological analysis </t>
  </si>
  <si>
    <t xml:space="preserve">5.4.3 Provide oral and written reports to important stakeholders </t>
  </si>
  <si>
    <t xml:space="preserve">5.4.4 Summarize the value of laboratory data and its impact on public health and animal health decisions </t>
  </si>
  <si>
    <t>5.4.1</t>
  </si>
  <si>
    <t xml:space="preserve">6.1.1 Describe human health and safety principles under an all-hazards approach </t>
  </si>
  <si>
    <t>6.1.2 Describe standard operating procedures for safe entry and safe exit related to vehicles (mobile) and on premises (stationary)</t>
  </si>
  <si>
    <t>6.1.1</t>
  </si>
  <si>
    <t>6.1.2</t>
  </si>
  <si>
    <t xml:space="preserve">6.1.3 Describe best practices for situational awareness principles for biosafety and biosecurity at personal, field team and task force levels </t>
  </si>
  <si>
    <t>6.1.3</t>
  </si>
  <si>
    <t xml:space="preserve">6.1.4 Describe IPC methods and SOPs to promote health and safety related to antimicrobial resistance </t>
  </si>
  <si>
    <t xml:space="preserve">6.2.1 Maintain situational awareness and communication at personal, field team and task force levels </t>
  </si>
  <si>
    <t>6.2.1</t>
  </si>
  <si>
    <t>6.2.2 Provide basic advocacy and community training</t>
  </si>
  <si>
    <t>6.2.2</t>
  </si>
  <si>
    <t xml:space="preserve">6.2.3 Assist with coordinating field member assignments for biosafety and biosecurity </t>
  </si>
  <si>
    <t>6.2.4</t>
  </si>
  <si>
    <t xml:space="preserve">6.2.4 Create three protective containment zones for suspect and positive premises </t>
  </si>
  <si>
    <t>6.2.5 Implement safe entry and exit waste management SOP including sample and data collection, handling and shipping, and vehicles</t>
  </si>
  <si>
    <t>6.3.1</t>
  </si>
  <si>
    <t>6.3.3</t>
  </si>
  <si>
    <t xml:space="preserve">6.3.1 Describe challenges and successes in implementing biosafety and biosecurity procedures </t>
  </si>
  <si>
    <t xml:space="preserve">6.3.2 Apply basic biosafety and biosecurity evaluation tools </t>
  </si>
  <si>
    <t xml:space="preserve">6.3.3 Apply specific biosafety and biosecurity evaluation and adaptations required at border points of entry </t>
  </si>
  <si>
    <t>7.1.1</t>
  </si>
  <si>
    <t>.</t>
  </si>
  <si>
    <t>7.1.3</t>
  </si>
  <si>
    <t>7.1.1 List sources of international health alerts</t>
  </si>
  <si>
    <t xml:space="preserve">7.1.2 Describe existing environmental monitoring systems </t>
  </si>
  <si>
    <t xml:space="preserve">7.1.3 Evaluate whether a health threat is potentially deliberate and requires collaboration with security forces </t>
  </si>
  <si>
    <t xml:space="preserve">7.1.4 Describe how to notify and collaborate with security forces about a potentially deliberate health threat </t>
  </si>
  <si>
    <t>7.2.1</t>
  </si>
  <si>
    <t>7.2.2</t>
  </si>
  <si>
    <t xml:space="preserve">7.2.1 Define risk and describe the risk assessment process </t>
  </si>
  <si>
    <t>7.2.2 Describe the steps for conducting qualitative risk assessments</t>
  </si>
  <si>
    <t>7.2.3 Characterize the current and potential risk pathways of population exposure to biological, chemical, radiological and nuclear threat</t>
  </si>
  <si>
    <t xml:space="preserve">7.2.4 Contribute to a risk assessment </t>
  </si>
  <si>
    <t>7.3.1 Describe the policies, plans, and frameworks relevant to emergency response</t>
  </si>
  <si>
    <t>7.4.1</t>
  </si>
  <si>
    <t>7.4.2</t>
  </si>
  <si>
    <t xml:space="preserve">7.4.1 Describe published guidelines for emergency preparedness, including WHO’s Emergency Response Framework and FAO’s Good Emergency Management Practices </t>
  </si>
  <si>
    <t xml:space="preserve">7.4.2 Describe the main aspects of emergency plans (i.e., resources, personnel, material, etc.) and any existing emergency preparedness and response plans relevant to the area (national, regional, or local) </t>
  </si>
  <si>
    <t xml:space="preserve">7.6.2 Explain economic, political, social and cultural barriers to emergency risk communication </t>
  </si>
  <si>
    <t>Frontline Technical Domain 8: Epidemiologic Studies</t>
  </si>
  <si>
    <t>Frontline Technical Domain 6: Infection Prevention and Control, Biosafety and Biosecurity</t>
  </si>
  <si>
    <t>8.1.1</t>
  </si>
  <si>
    <t xml:space="preserve">8.1.1 Describe the basic differences between descriptive and analytical studies </t>
  </si>
  <si>
    <t xml:space="preserve">8.1.2 Describe the importance of random sampling and how it differs from non-random sampling </t>
  </si>
  <si>
    <t>8.1.3 Describe the brief field studies related to zoonotic disease events: a) descriptive case study; b) survey or knowledge, attitudes and practices study; and c) secondary data analysis (e.g., existing field or laboratory data)</t>
  </si>
  <si>
    <t>8.1.4  Describe the players, drivers, and interactions among sectors contributing to disease occurrence</t>
  </si>
  <si>
    <t xml:space="preserve">8.2.5 Describe the critical pre-requisites to collaborate, coordinate and communicate across sectoral lines at local level </t>
  </si>
  <si>
    <t xml:space="preserve">8.3.1  Apply sampling methods to collect data based on local context and feasibility </t>
  </si>
  <si>
    <t xml:space="preserve">8.3.2  Describe the critical pre-requisites to collaborate, coordinate and communicate across sectoral lines at local level </t>
  </si>
  <si>
    <t xml:space="preserve">8.3.3  Describe the potential impact from any intervention recommended or made following the epidemiological study across the sectors </t>
  </si>
  <si>
    <t>8.3.1</t>
  </si>
  <si>
    <t>8.4.1</t>
  </si>
  <si>
    <t xml:space="preserve">8.4.1  Share data in collaboration, coordination and communication among sectoral investigators and the community to initiate urgent intervention at local when needed </t>
  </si>
  <si>
    <t>Frontline Technical Domain 9: Data Management, Biostatistics, and Informatics</t>
  </si>
  <si>
    <t>9.1.1</t>
  </si>
  <si>
    <t>9.2.2</t>
  </si>
  <si>
    <t>9.2.3</t>
  </si>
  <si>
    <t xml:space="preserve">9.2.2  Use a data dictionary to explain coding, types of variables </t>
  </si>
  <si>
    <t xml:space="preserve">9.2.3  Use electronic tools for data collection </t>
  </si>
  <si>
    <t>10.3.4</t>
  </si>
  <si>
    <t>10.4.1</t>
  </si>
  <si>
    <t>10.5.1</t>
  </si>
  <si>
    <t>10.1.2 Describe the two main types of ecosystem services: provisioning and regulating</t>
  </si>
  <si>
    <t>10.1.3 Define and explain the relationship between biodiversity, ecological function and ecosystem services to community members</t>
  </si>
  <si>
    <t>10.1.5 Describe risks that may threaten ecosystem sustainability and describe how they impact biodiversity, e.g. understand the impact of invasive alien species to a ecosystem health and epidemiology</t>
  </si>
  <si>
    <t xml:space="preserve">10.1.6 Identify, measure and assess indicators of ecosystem function (early warning signals intelligence) </t>
  </si>
  <si>
    <t>10.1.7 Explain structural and functional complexity of ecological systems and their relationship with zoonoses</t>
  </si>
  <si>
    <t>10.2.1 Describe different wildlife populations within a jurisdiction, including those with significant human and livestock interaction or under human care, including farmed wildlife</t>
  </si>
  <si>
    <t>10.2.2 Describe and apply the principles of species conservation during the practice of field epidemiology</t>
  </si>
  <si>
    <t>10.3.4 Describe the major drivers of environmental contamination (agricultural, manufacturing, etc.)</t>
  </si>
  <si>
    <t>10.3.5 Correlate environmental risk indicators with health indicators (human and animal)</t>
  </si>
  <si>
    <t>10.3.7 Describe factors that influence whether pathogens survive in certain conditions</t>
  </si>
  <si>
    <t>10.4.1 Implement practices that reduce or mitigate the environmental impact of provided human or animal health services</t>
  </si>
  <si>
    <t>10.4.2 Explain the interrelationship between climate change and the frequency and severity of storms, floods, fires and drought</t>
  </si>
  <si>
    <t>10.4.3 Describe the basic concepts of global warming and greenhouse gases</t>
  </si>
  <si>
    <t>10.4.4 Describe how climate change impacts disease transmission and species migration</t>
  </si>
  <si>
    <t>10.4.5 Describe the carbon cycle</t>
  </si>
  <si>
    <t>10.5.1 Identify and assess the environmental and socioeconomic drivers of disease and their signals within the local context</t>
  </si>
  <si>
    <t>10.5.2 Describe how human activities drive environmental change leading to the emergence of disease</t>
  </si>
  <si>
    <t>10.5.3 Describe the role of wildlife trade and wet markets in disease transmission and emergence</t>
  </si>
  <si>
    <t>10.5.4 Describe and monitor the impact of local food production systems on the health of the ecosystem</t>
  </si>
  <si>
    <t>10.5.5 Explain reasons for the emergence or re-emergence of some diseases in response to environmental change</t>
  </si>
  <si>
    <t>11.1.8</t>
  </si>
  <si>
    <t>11.6.1</t>
  </si>
  <si>
    <t>11.6.2</t>
  </si>
  <si>
    <t>11.1.1 Communicate a common understanding of the One Health concept</t>
  </si>
  <si>
    <t xml:space="preserve">11.1.6  Practice flexibility and openness to different ideas and approaches </t>
  </si>
  <si>
    <t xml:space="preserve">11.1.7 Describe the importance of engaging with formal and informal community leaders </t>
  </si>
  <si>
    <t xml:space="preserve">11.1.8  Define strategies for community engagement and motivation </t>
  </si>
  <si>
    <t xml:space="preserve">11.1.9  Practice self-awareness, self-regulation, and prioritize group success  </t>
  </si>
  <si>
    <t xml:space="preserve">11.2.2  Implement, monitor, and test new methodologies and work practices </t>
  </si>
  <si>
    <t xml:space="preserve">11.2.3  Collaborate with stakeholders keeping in mind their power or interests </t>
  </si>
  <si>
    <t xml:space="preserve">11.2.4  Work within the existing governance structure </t>
  </si>
  <si>
    <t>11.2.5  Communicate and notify higher levels on the needs, gaps and opportunities for improvements in field implementation</t>
  </si>
  <si>
    <t xml:space="preserve">11.4.1  Describe the principles of project management and monitoring </t>
  </si>
  <si>
    <t xml:space="preserve">11.4.2  Describe and manage formal and informal organizational structures </t>
  </si>
  <si>
    <t xml:space="preserve">11.5.2  Project and recommend changes to activities within a budget and financial plan </t>
  </si>
  <si>
    <t>11.5.3  Describe how financing for One Health activities is shared across sectors but allocated in individual sector budgets</t>
  </si>
  <si>
    <t xml:space="preserve">11.5.4  Advocate for local government budgetary support for One Health planning and activities </t>
  </si>
  <si>
    <t xml:space="preserve">11.5.5  Engage local support through securing funding or involving stakeholders (NGOs, private sector, etc.) in specific actions </t>
  </si>
  <si>
    <t xml:space="preserve">11.5.6  Participate in strategic planning and the development of budgets for One Health projects </t>
  </si>
  <si>
    <t xml:space="preserve">11.6.1  Effectively engage with security organizations </t>
  </si>
  <si>
    <t xml:space="preserve">11.6.2 Apply practical techniques to manage risks and deal with difficult circumstances including conflicts </t>
  </si>
  <si>
    <t>11.6.3  React appropriately in the event of actual danger, threat or injury</t>
  </si>
  <si>
    <t>11.6.4 Explain personal psychological reactions to security incidents and know where to obtain help</t>
  </si>
  <si>
    <t>11.6.5 Explain the cultural characteristics of the local population, particularly offensive language and unacceptable practices</t>
  </si>
  <si>
    <t>11.6.6 Demonstrate awareness of mental health and wellbeing in the working environment</t>
  </si>
  <si>
    <t>11.1.6</t>
  </si>
  <si>
    <t xml:space="preserve">12.1.1  Apply the main rules for public speaking (e.g., style, posture, verbal, paraverbal, and non-verbal language, eye contact, dressing code, etc.) and emotional control </t>
  </si>
  <si>
    <t xml:space="preserve">12.1.2  Take account of audience feedback, responding in a timely manner </t>
  </si>
  <si>
    <t xml:space="preserve">12.1.3  Acknowledge differences among the target audiences </t>
  </si>
  <si>
    <t>12.1.1</t>
  </si>
  <si>
    <t>12.1.4</t>
  </si>
  <si>
    <t>12.1.4  Recognize gender issues relevant for communication in different settings</t>
  </si>
  <si>
    <t xml:space="preserve">12.2.2  Draft key messages providing a basic logical structure, adapting the language, format and style to the target audience and context </t>
  </si>
  <si>
    <t xml:space="preserve">12.4.1  Apply the components of effective communication to organize events for technical and non-technical audiences </t>
  </si>
  <si>
    <t xml:space="preserve">12.4.2  Contribute to design an event agenda, identifying target audiences, goals, contents, speakers and considering organizational aspects </t>
  </si>
  <si>
    <t>13.1.5 Describe multidisciplinary and multisectoral group dynamics</t>
  </si>
  <si>
    <t xml:space="preserve">13.2.4 Understand the basic methodologies to strengthen and assess learning progresses </t>
  </si>
  <si>
    <t>13.3.7</t>
  </si>
  <si>
    <t>13.3.4 Tutor residential or virtual class activities and conduct evaluations</t>
  </si>
  <si>
    <t xml:space="preserve">13.3.7 Transfer basic knowledge, skills and abilities through on-the-job mentorship, using both didactic and hands-on approaches </t>
  </si>
  <si>
    <t>14.1.1</t>
  </si>
  <si>
    <t>14.3.1 Explain the normal challenges stakeholders face related to: a) Moral distress, b) Divided loyalties, c) Conflict of interest</t>
  </si>
  <si>
    <t xml:space="preserve">14.3.2 Apply ethically relevant criteria for triage, resource allocation and standard of care in emergency response </t>
  </si>
  <si>
    <t>14.3.1</t>
  </si>
  <si>
    <t xml:space="preserve">14.4.1 Apply enforcement action when appropriate </t>
  </si>
  <si>
    <t>Domain 10: Ecosystem Health</t>
  </si>
  <si>
    <t>Acknowledgements</t>
  </si>
  <si>
    <t>Core Team</t>
  </si>
  <si>
    <t>Tool Development Team</t>
  </si>
  <si>
    <t>Jessica Cargill, IIAD, Texas A&amp;M University System and WOAH Collaborating Centre</t>
  </si>
  <si>
    <t>Heather Simmons, IIAD, Texas A&amp;M University System and WOAH Collaborating Centre</t>
  </si>
  <si>
    <t>Kaitlin Thompson, IIAD, Texas A&amp;M University System and WOAH Collaborating Centre</t>
  </si>
  <si>
    <t> 4.2.2</t>
  </si>
  <si>
    <t>3.2.3 Describe active/passive case findings during field investigations</t>
  </si>
  <si>
    <t>10.3.3 Describe health impacts of local air, soil and water contaminants in humans and animals</t>
  </si>
  <si>
    <r>
      <rPr>
        <b/>
        <sz val="12"/>
        <color theme="1"/>
        <rFont val="Calibri"/>
        <family val="2"/>
        <scheme val="minor"/>
      </rPr>
      <t>GOAL:</t>
    </r>
    <r>
      <rPr>
        <sz val="12"/>
        <color theme="1"/>
        <rFont val="Calibri"/>
        <family val="2"/>
        <scheme val="minor"/>
      </rPr>
      <t xml:space="preserve"> To help identify the relative importance of the Optional competency domains of the One Health field epidemiology curriculum within the context of the country's specific needs and strategic objectives.
</t>
    </r>
    <r>
      <rPr>
        <b/>
        <sz val="12"/>
        <color theme="1"/>
        <rFont val="Calibri"/>
        <family val="2"/>
        <scheme val="minor"/>
      </rPr>
      <t>BACKGROUND</t>
    </r>
    <r>
      <rPr>
        <sz val="12"/>
        <color theme="1"/>
        <rFont val="Calibri"/>
        <family val="2"/>
        <scheme val="minor"/>
      </rPr>
      <t xml:space="preserve">: The technical working group has conducted a prioritization exercise to determine which competencies in the domains and subdomains are to be considered "Core" or "Optional". Because Core competencies are non-negotiable for curriculum implementation, this tool only prioritizes the Optional competencies. The expert working group acknowledges that the curriculum contains a great number of competencies, and that countries have limited time and resources to deliver One Health Field Epidemiology training programs. Thus, there should be some manner in which countries are able to prioritize Optional competencies based on their own needs and training gaps. This tool allows for a pairwise comparison of each Optional competency within each Domain to determine the relative importance and ranked order in which Optional competencies can be considered for inclusion in the curriculum.
</t>
    </r>
    <r>
      <rPr>
        <b/>
        <sz val="12"/>
        <color theme="1"/>
        <rFont val="Calibri"/>
        <family val="2"/>
        <scheme val="minor"/>
      </rPr>
      <t>STEPS:</t>
    </r>
    <r>
      <rPr>
        <sz val="12"/>
        <color theme="1"/>
        <rFont val="Calibri"/>
        <family val="2"/>
        <scheme val="minor"/>
      </rPr>
      <t xml:space="preserve">
1. The tool is divided by Domain so that all optional competencies within that Domain may be compared. The Core competencies are listed for reference in Column C. For each Optional competency, the numbered competencies are listed in Column E (along the y-axis), and in Row 5 (along the x-axis).
2. To make each pairwise comparison, the expert will assign a rating from the drop-down menu in the white cells in which the competency on the y-axis (in column E) is compared to the competency along the x-axis (in Row 5). The options in the Likert-type scale are "Much more important"; "More important"; "Equally important"; "Less important"; "Much less important". 
3. Once all comparisons have been made, the tool will automatically assign a score and ranking for each competency, which will appear in the columns to the right of the matrix.
</t>
    </r>
    <r>
      <rPr>
        <b/>
        <sz val="12"/>
        <color theme="1"/>
        <rFont val="Calibri"/>
        <family val="2"/>
        <scheme val="minor"/>
      </rPr>
      <t xml:space="preserve">
</t>
    </r>
    <r>
      <rPr>
        <b/>
        <sz val="12"/>
        <rFont val="Calibri"/>
        <family val="2"/>
        <scheme val="minor"/>
      </rPr>
      <t xml:space="preserve">*EXAMPLE (USE DOMAIN 3): </t>
    </r>
    <r>
      <rPr>
        <sz val="12"/>
        <rFont val="Calibri"/>
        <family val="2"/>
        <scheme val="minor"/>
      </rPr>
      <t xml:space="preserve">In the example below, a pairwise comparison ranking has been made for each of the Optional competencies in Domain 3: Field Investigations. Competency 3.1.2 was rated as "More Important" to Competency 3.1.1. In the next row, Competency 3.1.3 was rated as "Equally Important" to Competency 3.1.1, "Equally Important" to Competency 2.1.6, and so on. The pairwise ratings have been used to calculate a score for each competency, along with a ranking. Therefore, program planners may choose to include Competencies 3.2.2 and 3.2.4 (which were rated the highest) and may not include Competencies 3.2.1 and 3.2.6 (which were rated the lowest). Note that this tool is meant to </t>
    </r>
    <r>
      <rPr>
        <b/>
        <sz val="12"/>
        <rFont val="Calibri"/>
        <family val="2"/>
        <scheme val="minor"/>
      </rPr>
      <t>assist</t>
    </r>
    <r>
      <rPr>
        <sz val="12"/>
        <rFont val="Calibri"/>
        <family val="2"/>
        <scheme val="minor"/>
      </rPr>
      <t xml:space="preserve"> in decision making, rather than being prescriptive: cutoffs for inclusion or exclusion of competencies should be made on a case-by-case basis depending on country needs and priorities.</t>
    </r>
  </si>
  <si>
    <t xml:space="preserve">1.2.1 Characterize the difference between viruses, fungi, bacteria, parasites and prions </t>
  </si>
  <si>
    <t xml:space="preserve">1.2.2 Characterize relevant pathogen, host, environment/ecological features of important infectious diseases </t>
  </si>
  <si>
    <t xml:space="preserve">1.2.3 Describe the epidemiological characteristics of priority infectious diseases of humans and animals </t>
  </si>
  <si>
    <t xml:space="preserve">1.9.1 Provide stakeholders with basic knowledge of complex systems related to health at the human-animal-environmental interface (interconnectedness) and how they impact global health </t>
  </si>
  <si>
    <t>2.1.4 Describe the characteristics (e.g., comprehensive vs sentinel surveillance, syndromic vs lab confirmed, case-based vs aggregate surveillance)</t>
  </si>
  <si>
    <t>2.3.1 Describe the principles of data collection for surveillance and apply them in multiple sectors</t>
  </si>
  <si>
    <t>3.1.5 Contribute to the design of data collection tools for participatory investigations</t>
  </si>
  <si>
    <t xml:space="preserve">14.2.4 Describe the ethical and health impacts of transhumance on human, animal and environmental health </t>
  </si>
  <si>
    <t xml:space="preserve">14.2.3 Describe ethical issues arising from community and population, consultation, interviews and focus groups; gender and cultural context of field epidemiology projects </t>
  </si>
  <si>
    <t xml:space="preserve">14.2.2 Describe the importance of ethics in teaching, research and the performance of field duties </t>
  </si>
  <si>
    <t xml:space="preserve">14.2.1 List the scope of the following ethics related to: a) care, b) safety, c) informed consent, and d) duty to care (compensation) </t>
  </si>
  <si>
    <t>14.1.1 Define the four principles of biomedical ethics: beneficence, non-maleficence, autonomy and justice</t>
  </si>
  <si>
    <t xml:space="preserve">13.5.5 Include both qualitative and quantitative evaluation of training curricula, training methods, training logistics, trainee outputs and outcomes including measuring short, medium and long term impacts </t>
  </si>
  <si>
    <t xml:space="preserve">13.5.4 Apply continuous quality improvement principles for trainees, training of trainers and trainer of mentors including orientation workshops for trainers and mentors to maintain minimum quality standards </t>
  </si>
  <si>
    <t xml:space="preserve">13.5.3 Describe customer orientation concepts and contribute to customer satisfaction </t>
  </si>
  <si>
    <t xml:space="preserve">13.5.2 Recognize the risks arising from undesired events and implement the defined appropriate mitigation measures </t>
  </si>
  <si>
    <t xml:space="preserve">13.5.1 Identify the processes that rely on an effective and efficient management of training actions </t>
  </si>
  <si>
    <t xml:space="preserve">13.4.2 Identify the main resources to be included in the development of eLearning modules </t>
  </si>
  <si>
    <t>13.4.1 Participate as a subject matter expert in development and delivery of eLearning modules and courses</t>
  </si>
  <si>
    <t>13.3.6 Implement joint field training initiatives, including: surveillance, outbreak investigation, field research, etc</t>
  </si>
  <si>
    <t xml:space="preserve">13.3.5 Facilitate on-the-job individual training, providing the necessary guidance to the trainee and monitoring the ongoing improvements through appropriate tools </t>
  </si>
  <si>
    <t>13.3.2 Use the basic methodologies to strengthen and analyze learning progress</t>
  </si>
  <si>
    <t xml:space="preserve">13.3.1 Identify and use the basic training methodologies for virtual, residential, and blended training, to carry out specific training activities </t>
  </si>
  <si>
    <t xml:space="preserve">13.2.5 Identify learning resources to be included in training programs </t>
  </si>
  <si>
    <t xml:space="preserve">13.2.3 Interpret training programs and contribute to their development </t>
  </si>
  <si>
    <t>13.2.2 Describe a learning needs’ assessment report and identify relevant information to design training programs</t>
  </si>
  <si>
    <t xml:space="preserve">13.2.1 Contribute to the assessment of learning needs </t>
  </si>
  <si>
    <t xml:space="preserve">13.1.6 Describe the different learning styles </t>
  </si>
  <si>
    <t xml:space="preserve">13.1.4 Engage in One Health learners’ communities </t>
  </si>
  <si>
    <t xml:space="preserve">13.1.3 Contribute to support learners in achieving their learning outcomes </t>
  </si>
  <si>
    <t>13.1.2 Contribute to facilitate a safe learning environment that meets learning needs of beneficiaries</t>
  </si>
  <si>
    <t xml:space="preserve">13.1.1 Engage in individual and group learning processes, guaranteeing interactive approaches </t>
  </si>
  <si>
    <t>10.3.2 Describe standards and policies related to maximum contaminant levels</t>
  </si>
  <si>
    <t>9.1.1  Use basic principles of file versioning</t>
  </si>
  <si>
    <t>4.1.1 Describe perspectives, responsibilities, obligations, and roles of diverse healthcare providers and animal health professionals in the community (government, private, nongovernmental, volunteer, traditional healer) and communicate/ coordinate with them in an open manner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</si>
</sst>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font>
      <sz val="12"/>
      <color theme="1"/>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
      <b/>
      <sz val="12"/>
      <name val="Calibri"/>
      <family val="2"/>
      <scheme val="minor"/>
    </font>
    <font>
      <sz val="12"/>
      <name val="Calibri"/>
      <family val="2"/>
      <scheme val="minor"/>
    </font>
    <font>
      <sz val="12"/>
      <color rgb="FFFF0000"/>
      <name val="Calibri"/>
      <family val="2"/>
      <scheme val="minor"/>
    </font>
    <font>
      <sz val="10"/>
      <color theme="1"/>
      <name val="Calibri,Bold"/>
    </font>
    <font>
      <sz val="10"/>
      <color theme="1"/>
      <name val="Calibri"/>
      <family val="2"/>
      <scheme val="minor"/>
    </font>
    <font>
      <b/>
      <sz val="12"/>
      <name val="Calibri Light"/>
      <family val="2"/>
    </font>
    <font>
      <b/>
      <sz val="12"/>
      <color theme="1"/>
      <name val="Calibri Light"/>
      <family val="2"/>
    </font>
    <font>
      <b/>
      <sz val="12"/>
      <name val="Calibri Light"/>
      <family val="2"/>
      <scheme val="major"/>
    </font>
    <font>
      <b/>
      <sz val="12"/>
      <color theme="1"/>
      <name val="Calibri Light"/>
      <family val="2"/>
      <scheme val="major"/>
    </font>
  </fonts>
  <fills count="8">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103">
    <xf numFmtId="0" fontId="0" fillId="0" borderId="0" xfId="0"/>
    <xf numFmtId="0" fontId="0" fillId="2" borderId="0" xfId="0" applyFill="1"/>
    <xf numFmtId="0" fontId="0" fillId="2" borderId="6" xfId="0" applyFill="1" applyBorder="1"/>
    <xf numFmtId="0" fontId="2" fillId="3" borderId="7" xfId="0" applyFont="1" applyFill="1" applyBorder="1" applyAlignment="1">
      <alignment horizontal="center" vertical="top" wrapText="1"/>
    </xf>
    <xf numFmtId="0" fontId="2" fillId="2" borderId="0" xfId="0" applyFont="1" applyFill="1" applyAlignment="1">
      <alignment horizontal="center" vertical="top" wrapText="1"/>
    </xf>
    <xf numFmtId="164" fontId="5" fillId="0" borderId="13" xfId="0" applyNumberFormat="1" applyFont="1" applyBorder="1" applyAlignment="1">
      <alignment horizontal="center" vertical="top" wrapText="1"/>
    </xf>
    <xf numFmtId="0" fontId="0" fillId="4" borderId="13" xfId="0" applyFill="1" applyBorder="1" applyAlignment="1">
      <alignment horizontal="center" vertical="top" wrapText="1"/>
    </xf>
    <xf numFmtId="0" fontId="3" fillId="2" borderId="0" xfId="0" applyFont="1" applyFill="1" applyAlignment="1">
      <alignment horizontal="left" vertical="top" wrapText="1"/>
    </xf>
    <xf numFmtId="164" fontId="0" fillId="0" borderId="0" xfId="0" applyNumberFormat="1" applyAlignment="1">
      <alignment horizontal="center" vertical="top" wrapText="1"/>
    </xf>
    <xf numFmtId="164" fontId="0" fillId="4" borderId="0" xfId="0" applyNumberFormat="1" applyFill="1" applyAlignment="1">
      <alignment horizontal="center" vertical="top" wrapText="1"/>
    </xf>
    <xf numFmtId="164" fontId="5" fillId="0" borderId="0" xfId="0" applyNumberFormat="1" applyFont="1" applyAlignment="1">
      <alignment horizontal="center" vertical="top" wrapText="1"/>
    </xf>
    <xf numFmtId="164" fontId="6" fillId="4" borderId="0" xfId="0" applyNumberFormat="1" applyFont="1" applyFill="1" applyAlignment="1">
      <alignment horizontal="center" vertical="top" wrapText="1"/>
    </xf>
    <xf numFmtId="0" fontId="0" fillId="4" borderId="0" xfId="0" applyFill="1" applyAlignment="1">
      <alignment horizontal="center" vertical="top" wrapText="1"/>
    </xf>
    <xf numFmtId="164" fontId="0" fillId="0" borderId="13" xfId="0" applyNumberFormat="1" applyBorder="1" applyAlignment="1">
      <alignment horizontal="center" vertical="top" wrapText="1"/>
    </xf>
    <xf numFmtId="0" fontId="3" fillId="2" borderId="0" xfId="0" applyFont="1" applyFill="1" applyAlignment="1">
      <alignment horizontal="center"/>
    </xf>
    <xf numFmtId="0" fontId="0" fillId="2" borderId="0" xfId="0" applyFill="1" applyAlignment="1">
      <alignment horizontal="left" vertical="top" wrapText="1"/>
    </xf>
    <xf numFmtId="0" fontId="0" fillId="2" borderId="0" xfId="0" applyFill="1" applyAlignment="1">
      <alignment vertical="top" wrapText="1"/>
    </xf>
    <xf numFmtId="0" fontId="0" fillId="2" borderId="11" xfId="0" applyFill="1" applyBorder="1"/>
    <xf numFmtId="0" fontId="0" fillId="2" borderId="15" xfId="0" applyFill="1" applyBorder="1"/>
    <xf numFmtId="0" fontId="3" fillId="6" borderId="16" xfId="0" applyFont="1" applyFill="1" applyBorder="1" applyAlignment="1">
      <alignment horizontal="center"/>
    </xf>
    <xf numFmtId="164" fontId="6" fillId="4" borderId="13" xfId="0" applyNumberFormat="1" applyFont="1" applyFill="1" applyBorder="1" applyAlignment="1">
      <alignment horizontal="center" vertical="top" wrapText="1"/>
    </xf>
    <xf numFmtId="164" fontId="5" fillId="4" borderId="13" xfId="0" applyNumberFormat="1" applyFont="1" applyFill="1" applyBorder="1" applyAlignment="1">
      <alignment horizontal="center" vertical="top" wrapText="1"/>
    </xf>
    <xf numFmtId="164" fontId="5" fillId="4" borderId="0" xfId="0" applyNumberFormat="1" applyFont="1" applyFill="1" applyAlignment="1">
      <alignment horizontal="center" vertical="top" wrapText="1"/>
    </xf>
    <xf numFmtId="0" fontId="3" fillId="0" borderId="0" xfId="0" applyFont="1" applyAlignment="1">
      <alignment horizontal="left" vertical="center" wrapText="1"/>
    </xf>
    <xf numFmtId="0" fontId="2" fillId="3" borderId="16" xfId="0" applyFont="1" applyFill="1" applyBorder="1" applyAlignment="1">
      <alignment horizontal="center" vertical="top" wrapText="1"/>
    </xf>
    <xf numFmtId="164" fontId="0" fillId="4" borderId="13" xfId="0" applyNumberFormat="1" applyFill="1" applyBorder="1" applyAlignment="1">
      <alignment horizontal="center" vertical="top" wrapText="1"/>
    </xf>
    <xf numFmtId="0" fontId="0" fillId="0" borderId="0" xfId="0" applyAlignment="1">
      <alignment horizontal="center" vertical="top" wrapText="1"/>
    </xf>
    <xf numFmtId="0" fontId="0" fillId="0" borderId="13" xfId="0" applyBorder="1" applyAlignment="1">
      <alignment horizontal="center" vertical="top" wrapText="1"/>
    </xf>
    <xf numFmtId="0" fontId="0" fillId="2" borderId="13" xfId="0" applyFill="1" applyBorder="1" applyAlignment="1">
      <alignment vertical="top" wrapText="1"/>
    </xf>
    <xf numFmtId="0" fontId="0" fillId="2" borderId="14" xfId="0" applyFill="1" applyBorder="1" applyAlignment="1">
      <alignment vertical="top" wrapText="1"/>
    </xf>
    <xf numFmtId="0" fontId="0" fillId="2" borderId="12" xfId="0" applyFill="1" applyBorder="1" applyAlignment="1">
      <alignment vertical="top" wrapText="1"/>
    </xf>
    <xf numFmtId="0" fontId="0" fillId="2" borderId="0" xfId="0" applyFill="1" applyAlignment="1">
      <alignment horizontal="center" vertical="top" wrapText="1"/>
    </xf>
    <xf numFmtId="0" fontId="3" fillId="0" borderId="3" xfId="0" applyFont="1" applyBorder="1" applyAlignment="1">
      <alignment horizontal="center" vertical="top" wrapText="1"/>
    </xf>
    <xf numFmtId="0" fontId="0" fillId="2" borderId="13" xfId="0" applyFill="1" applyBorder="1" applyAlignment="1">
      <alignment horizontal="center" vertical="top" wrapText="1"/>
    </xf>
    <xf numFmtId="0" fontId="9" fillId="3" borderId="5"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10" fillId="3" borderId="12" xfId="0" applyFont="1" applyFill="1" applyBorder="1" applyAlignment="1">
      <alignment horizontal="left" vertical="center" wrapText="1"/>
    </xf>
    <xf numFmtId="0" fontId="11" fillId="3" borderId="5" xfId="0" applyFont="1" applyFill="1" applyBorder="1" applyAlignment="1">
      <alignment horizontal="left" vertical="center" wrapText="1"/>
    </xf>
    <xf numFmtId="0" fontId="12" fillId="3" borderId="5" xfId="0" applyFont="1" applyFill="1" applyBorder="1" applyAlignment="1">
      <alignment horizontal="left" vertical="center" wrapText="1"/>
    </xf>
    <xf numFmtId="0" fontId="12" fillId="3" borderId="12" xfId="0" applyFont="1" applyFill="1" applyBorder="1" applyAlignment="1">
      <alignment horizontal="left" vertical="center" wrapText="1"/>
    </xf>
    <xf numFmtId="164" fontId="0" fillId="4" borderId="3" xfId="0" applyNumberFormat="1" applyFill="1" applyBorder="1" applyAlignment="1">
      <alignment horizontal="center" vertical="top" wrapText="1"/>
    </xf>
    <xf numFmtId="0" fontId="11" fillId="3" borderId="2" xfId="0" applyFont="1" applyFill="1" applyBorder="1" applyAlignment="1">
      <alignment horizontal="left" vertical="center" wrapText="1"/>
    </xf>
    <xf numFmtId="0" fontId="0" fillId="2" borderId="0" xfId="0" applyFill="1" applyAlignment="1">
      <alignment wrapText="1"/>
    </xf>
    <xf numFmtId="0" fontId="0" fillId="0" borderId="1" xfId="0" applyBorder="1" applyAlignment="1">
      <alignment wrapText="1"/>
    </xf>
    <xf numFmtId="0" fontId="0" fillId="2" borderId="2" xfId="0"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0" fillId="2" borderId="6" xfId="0" applyFill="1" applyBorder="1" applyAlignment="1">
      <alignment wrapText="1"/>
    </xf>
    <xf numFmtId="0" fontId="0" fillId="3" borderId="11" xfId="0" applyFill="1" applyBorder="1" applyAlignment="1">
      <alignment wrapText="1"/>
    </xf>
    <xf numFmtId="0" fontId="3" fillId="3" borderId="5" xfId="0" applyFont="1" applyFill="1" applyBorder="1" applyAlignment="1">
      <alignment horizontal="center" vertical="top" wrapText="1"/>
    </xf>
    <xf numFmtId="0" fontId="3" fillId="0" borderId="0" xfId="0" applyFont="1" applyAlignment="1">
      <alignment horizontal="center" vertical="top" wrapText="1"/>
    </xf>
    <xf numFmtId="0" fontId="3" fillId="0" borderId="6" xfId="0" applyFont="1" applyBorder="1" applyAlignment="1">
      <alignment horizontal="center" vertical="top" wrapText="1"/>
    </xf>
    <xf numFmtId="0" fontId="0" fillId="0" borderId="6" xfId="0" applyBorder="1" applyAlignment="1">
      <alignment horizontal="center" vertical="top" wrapText="1"/>
    </xf>
    <xf numFmtId="164" fontId="0" fillId="4" borderId="1" xfId="0" applyNumberFormat="1" applyFill="1" applyBorder="1" applyAlignment="1">
      <alignment horizontal="center" vertical="top" wrapText="1"/>
    </xf>
    <xf numFmtId="164" fontId="0" fillId="5" borderId="1" xfId="0" applyNumberFormat="1" applyFill="1" applyBorder="1" applyAlignment="1">
      <alignment horizontal="center" vertical="top" wrapText="1"/>
    </xf>
    <xf numFmtId="164" fontId="0" fillId="0" borderId="1" xfId="0" applyNumberFormat="1" applyBorder="1" applyAlignment="1">
      <alignment wrapText="1"/>
    </xf>
    <xf numFmtId="164" fontId="0" fillId="0" borderId="1" xfId="0" applyNumberFormat="1" applyBorder="1" applyAlignment="1">
      <alignment horizontal="center" vertical="top" wrapText="1"/>
    </xf>
    <xf numFmtId="0" fontId="0" fillId="0" borderId="14" xfId="0" applyBorder="1" applyAlignment="1">
      <alignment horizontal="center" vertical="top" wrapText="1"/>
    </xf>
    <xf numFmtId="0" fontId="0" fillId="4" borderId="1" xfId="0" applyFill="1" applyBorder="1" applyAlignment="1">
      <alignment wrapText="1"/>
    </xf>
    <xf numFmtId="0" fontId="7" fillId="2" borderId="0" xfId="0" applyFont="1" applyFill="1" applyAlignment="1">
      <alignment wrapText="1"/>
    </xf>
    <xf numFmtId="0" fontId="0" fillId="0" borderId="17" xfId="0" applyBorder="1" applyAlignment="1">
      <alignment wrapText="1"/>
    </xf>
    <xf numFmtId="0" fontId="0" fillId="3" borderId="15"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0" fillId="2" borderId="14" xfId="0" applyFill="1" applyBorder="1" applyAlignment="1">
      <alignment wrapText="1"/>
    </xf>
    <xf numFmtId="2" fontId="0" fillId="0" borderId="1" xfId="0" applyNumberFormat="1" applyBorder="1" applyAlignment="1">
      <alignment horizontal="center" vertical="top" wrapText="1"/>
    </xf>
    <xf numFmtId="0" fontId="0" fillId="4" borderId="1" xfId="0" applyFill="1" applyBorder="1" applyAlignment="1">
      <alignment horizontal="center" vertical="top" wrapText="1"/>
    </xf>
    <xf numFmtId="0" fontId="0" fillId="5" borderId="1" xfId="0" applyFill="1" applyBorder="1" applyAlignment="1">
      <alignment horizontal="center" vertical="top" wrapText="1"/>
    </xf>
    <xf numFmtId="0" fontId="0" fillId="5" borderId="1" xfId="0" applyFill="1" applyBorder="1" applyAlignment="1">
      <alignment wrapText="1"/>
    </xf>
    <xf numFmtId="0" fontId="0" fillId="0" borderId="0" xfId="0" applyAlignment="1">
      <alignment wrapText="1"/>
    </xf>
    <xf numFmtId="0" fontId="7" fillId="2" borderId="13" xfId="0" applyFont="1" applyFill="1" applyBorder="1" applyAlignment="1">
      <alignment wrapText="1"/>
    </xf>
    <xf numFmtId="0" fontId="8" fillId="2" borderId="0" xfId="0" applyFont="1" applyFill="1" applyAlignment="1">
      <alignment wrapText="1"/>
    </xf>
    <xf numFmtId="164" fontId="0" fillId="2" borderId="0" xfId="0" applyNumberFormat="1" applyFill="1" applyAlignment="1">
      <alignment horizontal="center" vertical="top" wrapText="1"/>
    </xf>
    <xf numFmtId="164" fontId="0" fillId="2" borderId="0" xfId="0" applyNumberFormat="1" applyFill="1" applyAlignment="1">
      <alignment wrapText="1"/>
    </xf>
    <xf numFmtId="0" fontId="0" fillId="3" borderId="16" xfId="0" applyFill="1" applyBorder="1" applyAlignment="1">
      <alignment wrapText="1"/>
    </xf>
    <xf numFmtId="0" fontId="3" fillId="3" borderId="2" xfId="0" applyFont="1" applyFill="1" applyBorder="1" applyAlignment="1">
      <alignment horizontal="center" vertical="top" wrapText="1"/>
    </xf>
    <xf numFmtId="0" fontId="3" fillId="0" borderId="4" xfId="0" applyFont="1" applyBorder="1" applyAlignment="1">
      <alignment horizontal="center" vertical="top" wrapText="1"/>
    </xf>
    <xf numFmtId="164" fontId="0" fillId="0" borderId="3" xfId="0" applyNumberFormat="1" applyBorder="1" applyAlignment="1">
      <alignment horizontal="center" vertical="top" wrapText="1"/>
    </xf>
    <xf numFmtId="0" fontId="0" fillId="0" borderId="4" xfId="0" applyBorder="1" applyAlignment="1">
      <alignment horizontal="center" vertical="top" wrapText="1"/>
    </xf>
    <xf numFmtId="0" fontId="0" fillId="0" borderId="0" xfId="0" applyAlignment="1"/>
    <xf numFmtId="0" fontId="0" fillId="3" borderId="17" xfId="0" applyFill="1" applyBorder="1" applyAlignment="1">
      <alignment wrapText="1"/>
    </xf>
    <xf numFmtId="0" fontId="0" fillId="3" borderId="19" xfId="0" applyFill="1" applyBorder="1" applyAlignment="1">
      <alignment wrapText="1"/>
    </xf>
    <xf numFmtId="0" fontId="0" fillId="3" borderId="20" xfId="0" applyFill="1" applyBorder="1" applyAlignment="1">
      <alignment wrapText="1"/>
    </xf>
    <xf numFmtId="0" fontId="0" fillId="0" borderId="13" xfId="0" applyBorder="1" applyAlignment="1">
      <alignment wrapText="1"/>
    </xf>
    <xf numFmtId="0" fontId="3" fillId="0" borderId="2" xfId="0" applyFont="1" applyBorder="1" applyAlignment="1">
      <alignment horizontal="center" vertical="top" wrapText="1"/>
    </xf>
    <xf numFmtId="0" fontId="3" fillId="3" borderId="7" xfId="0" applyFont="1" applyFill="1" applyBorder="1" applyAlignment="1">
      <alignment horizontal="center" vertical="top" wrapText="1"/>
    </xf>
    <xf numFmtId="0" fontId="3" fillId="0" borderId="1" xfId="0" applyFont="1" applyBorder="1" applyAlignment="1">
      <alignment horizontal="center" wrapText="1"/>
    </xf>
    <xf numFmtId="0" fontId="3" fillId="0" borderId="18" xfId="0" applyFont="1" applyBorder="1" applyAlignment="1">
      <alignment horizontal="center" wrapText="1"/>
    </xf>
    <xf numFmtId="0" fontId="3" fillId="7" borderId="0" xfId="0" applyFont="1" applyFill="1" applyAlignment="1"/>
    <xf numFmtId="0" fontId="3" fillId="6" borderId="2" xfId="0" applyFont="1" applyFill="1" applyBorder="1" applyAlignment="1">
      <alignment horizontal="center"/>
    </xf>
    <xf numFmtId="0" fontId="3" fillId="6" borderId="3" xfId="0" applyFont="1" applyFill="1" applyBorder="1" applyAlignment="1">
      <alignment horizontal="center"/>
    </xf>
    <xf numFmtId="0" fontId="3" fillId="6" borderId="4" xfId="0" applyFont="1" applyFill="1" applyBorder="1" applyAlignment="1">
      <alignment horizont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0" fillId="2" borderId="0" xfId="0" applyFill="1" applyAlignment="1">
      <alignment horizontal="center"/>
    </xf>
    <xf numFmtId="0" fontId="1" fillId="0" borderId="3" xfId="0" applyFont="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2" fillId="3" borderId="4" xfId="0" applyFont="1" applyFill="1" applyBorder="1" applyAlignment="1">
      <alignment horizontal="center" vertical="top" wrapText="1"/>
    </xf>
    <xf numFmtId="0" fontId="2" fillId="3" borderId="8" xfId="0" applyFont="1" applyFill="1" applyBorder="1" applyAlignment="1">
      <alignment horizontal="center" vertical="top" wrapText="1"/>
    </xf>
    <xf numFmtId="0" fontId="2" fillId="3" borderId="9" xfId="0" applyFont="1" applyFill="1" applyBorder="1" applyAlignment="1">
      <alignment horizontal="center" vertical="top" wrapText="1"/>
    </xf>
    <xf numFmtId="0" fontId="2" fillId="3" borderId="10" xfId="0" applyFont="1" applyFill="1" applyBorder="1" applyAlignment="1">
      <alignment horizontal="center" vertical="top" wrapText="1"/>
    </xf>
  </cellXfs>
  <cellStyles count="1">
    <cellStyle name="Normal" xfId="0" builtinId="0"/>
  </cellStyles>
  <dxfs count="98">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indexed="64"/>
          <bgColor theme="0"/>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fill>
        <patternFill>
          <fgColor indexed="64"/>
          <bgColor theme="0"/>
        </patternFill>
      </fill>
      <alignment textRotation="0" wrapText="1" indent="0" justifyLastLine="0" shrinkToFit="0" readingOrder="0"/>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fgColor rgb="FF000000"/>
          <bgColor rgb="FFFFFFFF"/>
        </patternFill>
      </fill>
      <alignment textRotation="0" wrapText="1" indent="0" justifyLastLine="0" shrinkToFit="0" readingOrder="0"/>
    </dxf>
    <dxf>
      <border outline="0">
        <bottom style="thin">
          <color rgb="FF000000"/>
        </bottom>
      </border>
    </dxf>
    <dxf>
      <fill>
        <patternFill>
          <fgColor indexed="64"/>
          <bgColor theme="0"/>
        </patternFill>
      </fill>
      <alignment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266700</xdr:colOff>
      <xdr:row>32</xdr:row>
      <xdr:rowOff>49308</xdr:rowOff>
    </xdr:from>
    <xdr:to>
      <xdr:col>14</xdr:col>
      <xdr:colOff>495300</xdr:colOff>
      <xdr:row>51</xdr:row>
      <xdr:rowOff>176307</xdr:rowOff>
    </xdr:to>
    <xdr:pic>
      <xdr:nvPicPr>
        <xdr:cNvPr id="2" name="Picture 1">
          <a:extLst>
            <a:ext uri="{FF2B5EF4-FFF2-40B4-BE49-F238E27FC236}">
              <a16:creationId xmlns:a16="http://schemas.microsoft.com/office/drawing/2014/main" id="{A8100015-2212-7448-22F2-1D060C271ABF}"/>
            </a:ext>
          </a:extLst>
        </xdr:cNvPr>
        <xdr:cNvPicPr>
          <a:picLocks noChangeAspect="1"/>
        </xdr:cNvPicPr>
      </xdr:nvPicPr>
      <xdr:blipFill>
        <a:blip xmlns:r="http://schemas.openxmlformats.org/officeDocument/2006/relationships" r:embed="rId1"/>
        <a:stretch>
          <a:fillRect/>
        </a:stretch>
      </xdr:blipFill>
      <xdr:spPr>
        <a:xfrm>
          <a:off x="533243" y="7669308"/>
          <a:ext cx="8789341" cy="4140826"/>
        </a:xfrm>
        <a:prstGeom prst="rect">
          <a:avLst/>
        </a:prstGeom>
      </xdr:spPr>
    </xdr:pic>
    <xdr:clientData/>
  </xdr:twoCellAnchor>
  <xdr:twoCellAnchor editAs="oneCell">
    <xdr:from>
      <xdr:col>1</xdr:col>
      <xdr:colOff>47036</xdr:colOff>
      <xdr:row>1</xdr:row>
      <xdr:rowOff>35277</xdr:rowOff>
    </xdr:from>
    <xdr:to>
      <xdr:col>17</xdr:col>
      <xdr:colOff>4758884</xdr:colOff>
      <xdr:row>1</xdr:row>
      <xdr:rowOff>1211203</xdr:rowOff>
    </xdr:to>
    <xdr:pic>
      <xdr:nvPicPr>
        <xdr:cNvPr id="3" name="Picture 2">
          <a:extLst>
            <a:ext uri="{FF2B5EF4-FFF2-40B4-BE49-F238E27FC236}">
              <a16:creationId xmlns:a16="http://schemas.microsoft.com/office/drawing/2014/main" id="{C17361BA-D035-D033-4BC9-7563931391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499" y="235184"/>
          <a:ext cx="14754255" cy="1175926"/>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161018</xdr:colOff>
      <xdr:row>6</xdr:row>
      <xdr:rowOff>120658</xdr:rowOff>
    </xdr:from>
    <xdr:to>
      <xdr:col>2</xdr:col>
      <xdr:colOff>7204981</xdr:colOff>
      <xdr:row>9</xdr:row>
      <xdr:rowOff>217716</xdr:rowOff>
    </xdr:to>
    <xdr:sp macro="" textlink="">
      <xdr:nvSpPr>
        <xdr:cNvPr id="2" name="TextBox 1">
          <a:extLst>
            <a:ext uri="{FF2B5EF4-FFF2-40B4-BE49-F238E27FC236}">
              <a16:creationId xmlns:a16="http://schemas.microsoft.com/office/drawing/2014/main" id="{7B1B8AE1-9E11-479B-849F-39C677E40863}"/>
            </a:ext>
          </a:extLst>
        </xdr:cNvPr>
        <xdr:cNvSpPr txBox="1"/>
      </xdr:nvSpPr>
      <xdr:spPr>
        <a:xfrm>
          <a:off x="562429" y="1896391"/>
          <a:ext cx="7043963" cy="17231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1.2: Epidemiology of Infectious Diseases</a:t>
          </a:r>
        </a:p>
        <a:p>
          <a:endParaRPr lang="en-US" sz="1100" b="1"/>
        </a:p>
        <a:p>
          <a:r>
            <a:rPr lang="en-US" sz="1100">
              <a:solidFill>
                <a:schemeClr val="dk1"/>
              </a:solidFill>
              <a:effectLst/>
              <a:latin typeface="+mn-lt"/>
              <a:ea typeface="+mn-ea"/>
              <a:cs typeface="+mn-cs"/>
            </a:rPr>
            <a:t>1.2.1 Define epidemiological terms including incubation period, infectious period, latency, immunity, vector, fomite, reservoir, etc.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1.2.2 Explain important mechanisms for transmission of infectious diseases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1.2.3 Define zoonosis</a:t>
          </a:r>
          <a:r>
            <a:rPr lang="en-US" sz="1100" baseline="0">
              <a:solidFill>
                <a:schemeClr val="dk1"/>
              </a:solidFill>
              <a:effectLst/>
              <a:latin typeface="+mn-lt"/>
              <a:ea typeface="+mn-ea"/>
              <a:cs typeface="+mn-cs"/>
            </a:rPr>
            <a:t> and anthroponotic diseases and list important (anthropo-)zoonotic diseases with epidemic potential</a:t>
          </a:r>
          <a:endParaRPr lang="en-US" sz="1100">
            <a:solidFill>
              <a:schemeClr val="dk1"/>
            </a:solidFill>
            <a:effectLst/>
            <a:latin typeface="+mn-lt"/>
            <a:ea typeface="+mn-ea"/>
            <a:cs typeface="+mn-cs"/>
          </a:endParaRPr>
        </a:p>
      </xdr:txBody>
    </xdr:sp>
    <xdr:clientData/>
  </xdr:twoCellAnchor>
  <xdr:twoCellAnchor>
    <xdr:from>
      <xdr:col>2</xdr:col>
      <xdr:colOff>163844</xdr:colOff>
      <xdr:row>14</xdr:row>
      <xdr:rowOff>112037</xdr:rowOff>
    </xdr:from>
    <xdr:to>
      <xdr:col>2</xdr:col>
      <xdr:colOff>7211333</xdr:colOff>
      <xdr:row>17</xdr:row>
      <xdr:rowOff>170095</xdr:rowOff>
    </xdr:to>
    <xdr:sp macro="" textlink="">
      <xdr:nvSpPr>
        <xdr:cNvPr id="3" name="TextBox 2">
          <a:extLst>
            <a:ext uri="{FF2B5EF4-FFF2-40B4-BE49-F238E27FC236}">
              <a16:creationId xmlns:a16="http://schemas.microsoft.com/office/drawing/2014/main" id="{FAC4F08D-7393-4D30-99E4-CA4B85A2F9F4}"/>
            </a:ext>
          </a:extLst>
        </xdr:cNvPr>
        <xdr:cNvSpPr txBox="1"/>
      </xdr:nvSpPr>
      <xdr:spPr>
        <a:xfrm>
          <a:off x="565255" y="5296358"/>
          <a:ext cx="7047489" cy="6499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1.5:</a:t>
          </a:r>
          <a:r>
            <a:rPr lang="en-US" sz="1100" b="1" baseline="0"/>
            <a:t> Policies and standards</a:t>
          </a:r>
        </a:p>
        <a:p>
          <a:endParaRPr lang="en-US" sz="1100" b="1"/>
        </a:p>
        <a:p>
          <a:pPr lvl="0"/>
          <a:r>
            <a:rPr lang="en-US" sz="1100">
              <a:solidFill>
                <a:schemeClr val="dk1"/>
              </a:solidFill>
              <a:effectLst/>
              <a:latin typeface="+mn-lt"/>
              <a:ea typeface="+mn-ea"/>
              <a:cs typeface="+mn-cs"/>
            </a:rPr>
            <a:t>None</a:t>
          </a:r>
        </a:p>
        <a:p>
          <a:endParaRPr lang="en-US" sz="1100" b="1"/>
        </a:p>
      </xdr:txBody>
    </xdr:sp>
    <xdr:clientData/>
  </xdr:twoCellAnchor>
  <xdr:twoCellAnchor>
    <xdr:from>
      <xdr:col>2</xdr:col>
      <xdr:colOff>163390</xdr:colOff>
      <xdr:row>4</xdr:row>
      <xdr:rowOff>107950</xdr:rowOff>
    </xdr:from>
    <xdr:to>
      <xdr:col>2</xdr:col>
      <xdr:colOff>7207704</xdr:colOff>
      <xdr:row>6</xdr:row>
      <xdr:rowOff>64408</xdr:rowOff>
    </xdr:to>
    <xdr:sp macro="" textlink="">
      <xdr:nvSpPr>
        <xdr:cNvPr id="4" name="TextBox 3">
          <a:extLst>
            <a:ext uri="{FF2B5EF4-FFF2-40B4-BE49-F238E27FC236}">
              <a16:creationId xmlns:a16="http://schemas.microsoft.com/office/drawing/2014/main" id="{DDF11744-53B3-4580-8D5A-0D37411DFA92}"/>
            </a:ext>
          </a:extLst>
        </xdr:cNvPr>
        <xdr:cNvSpPr txBox="1"/>
      </xdr:nvSpPr>
      <xdr:spPr>
        <a:xfrm>
          <a:off x="564801" y="1182914"/>
          <a:ext cx="7044314" cy="6572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 History of epidemiology</a:t>
          </a:r>
          <a:endParaRPr lang="en-US" sz="1100" b="1" baseline="0"/>
        </a:p>
        <a:p>
          <a:endParaRPr lang="en-US" sz="1100" b="1"/>
        </a:p>
        <a:p>
          <a:r>
            <a:rPr lang="en-US" sz="1100" b="0">
              <a:solidFill>
                <a:schemeClr val="dk1"/>
              </a:solidFill>
              <a:effectLst/>
              <a:latin typeface="+mn-lt"/>
              <a:ea typeface="+mn-ea"/>
              <a:cs typeface="+mn-cs"/>
            </a:rPr>
            <a:t>1.1.1</a:t>
          </a:r>
          <a:r>
            <a:rPr lang="en-US" sz="1100" b="0" baseline="0">
              <a:solidFill>
                <a:schemeClr val="dk1"/>
              </a:solidFill>
              <a:effectLst/>
              <a:latin typeface="+mn-lt"/>
              <a:ea typeface="+mn-ea"/>
              <a:cs typeface="+mn-cs"/>
            </a:rPr>
            <a:t> Define epidemiology and field epidemiology</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163390</xdr:colOff>
      <xdr:row>9</xdr:row>
      <xdr:rowOff>298437</xdr:rowOff>
    </xdr:from>
    <xdr:to>
      <xdr:col>2</xdr:col>
      <xdr:colOff>7204529</xdr:colOff>
      <xdr:row>10</xdr:row>
      <xdr:rowOff>612309</xdr:rowOff>
    </xdr:to>
    <xdr:sp macro="" textlink="">
      <xdr:nvSpPr>
        <xdr:cNvPr id="5" name="TextBox 4">
          <a:extLst>
            <a:ext uri="{FF2B5EF4-FFF2-40B4-BE49-F238E27FC236}">
              <a16:creationId xmlns:a16="http://schemas.microsoft.com/office/drawing/2014/main" id="{61FA9B12-4A44-4AF0-916B-7EF1D811970D}"/>
            </a:ext>
          </a:extLst>
        </xdr:cNvPr>
        <xdr:cNvSpPr txBox="1"/>
      </xdr:nvSpPr>
      <xdr:spPr>
        <a:xfrm>
          <a:off x="564801" y="3700223"/>
          <a:ext cx="7041139" cy="7765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 Epidemiology</a:t>
          </a:r>
          <a:r>
            <a:rPr lang="en-US" sz="1100" b="1" baseline="0"/>
            <a:t> of non-communicable diseases</a:t>
          </a:r>
        </a:p>
        <a:p>
          <a:endParaRPr lang="en-US" sz="1100" b="1"/>
        </a:p>
        <a:p>
          <a:r>
            <a:rPr lang="en-US" sz="1100" b="0">
              <a:solidFill>
                <a:schemeClr val="dk1"/>
              </a:solidFill>
              <a:effectLst/>
              <a:latin typeface="+mn-lt"/>
              <a:ea typeface="+mn-ea"/>
              <a:cs typeface="+mn-cs"/>
            </a:rPr>
            <a:t>1.3.1</a:t>
          </a:r>
          <a:r>
            <a:rPr lang="en-US" sz="1100" b="0" baseline="0">
              <a:solidFill>
                <a:schemeClr val="dk1"/>
              </a:solidFill>
              <a:effectLst/>
              <a:latin typeface="+mn-lt"/>
              <a:ea typeface="+mn-ea"/>
              <a:cs typeface="+mn-cs"/>
            </a:rPr>
            <a:t> Describe the link between risk factors and some non-communicable diseases (NCDs)</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162031</xdr:colOff>
      <xdr:row>10</xdr:row>
      <xdr:rowOff>688521</xdr:rowOff>
    </xdr:from>
    <xdr:to>
      <xdr:col>2</xdr:col>
      <xdr:colOff>7203170</xdr:colOff>
      <xdr:row>14</xdr:row>
      <xdr:rowOff>27213</xdr:rowOff>
    </xdr:to>
    <xdr:sp macro="" textlink="">
      <xdr:nvSpPr>
        <xdr:cNvPr id="6" name="TextBox 5">
          <a:extLst>
            <a:ext uri="{FF2B5EF4-FFF2-40B4-BE49-F238E27FC236}">
              <a16:creationId xmlns:a16="http://schemas.microsoft.com/office/drawing/2014/main" id="{A35D5EB6-5B29-419C-B920-92D398A0805B}"/>
            </a:ext>
          </a:extLst>
        </xdr:cNvPr>
        <xdr:cNvSpPr txBox="1"/>
      </xdr:nvSpPr>
      <xdr:spPr>
        <a:xfrm>
          <a:off x="563442" y="4552950"/>
          <a:ext cx="7041139" cy="658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a:t>
          </a:r>
          <a:r>
            <a:rPr lang="en-US" sz="1100" b="1" baseline="0"/>
            <a:t> Prioritization of disease and disease burden</a:t>
          </a:r>
        </a:p>
        <a:p>
          <a:endParaRPr lang="en-US" sz="1100" b="1"/>
        </a:p>
        <a:p>
          <a:r>
            <a:rPr lang="en-US" sz="1100" b="0"/>
            <a:t>None</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162481</xdr:colOff>
      <xdr:row>18</xdr:row>
      <xdr:rowOff>45804</xdr:rowOff>
    </xdr:from>
    <xdr:to>
      <xdr:col>2</xdr:col>
      <xdr:colOff>7194095</xdr:colOff>
      <xdr:row>21</xdr:row>
      <xdr:rowOff>107036</xdr:rowOff>
    </xdr:to>
    <xdr:sp macro="" textlink="">
      <xdr:nvSpPr>
        <xdr:cNvPr id="7" name="TextBox 6">
          <a:extLst>
            <a:ext uri="{FF2B5EF4-FFF2-40B4-BE49-F238E27FC236}">
              <a16:creationId xmlns:a16="http://schemas.microsoft.com/office/drawing/2014/main" id="{7E024A95-9DEA-460A-89CE-9D9422D1156A}"/>
            </a:ext>
          </a:extLst>
        </xdr:cNvPr>
        <xdr:cNvSpPr txBox="1"/>
      </xdr:nvSpPr>
      <xdr:spPr>
        <a:xfrm>
          <a:off x="563892" y="6019340"/>
          <a:ext cx="7031614" cy="653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1.6:</a:t>
          </a:r>
          <a:r>
            <a:rPr lang="en-US" sz="1100" b="1" baseline="0"/>
            <a:t> Maternal and child health</a:t>
          </a:r>
        </a:p>
        <a:p>
          <a:endParaRPr lang="en-US" sz="1100" b="1"/>
        </a:p>
        <a:p>
          <a:r>
            <a:rPr lang="en-US" sz="1100" b="0"/>
            <a:t>None</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159760</xdr:colOff>
      <xdr:row>21</xdr:row>
      <xdr:rowOff>178702</xdr:rowOff>
    </xdr:from>
    <xdr:to>
      <xdr:col>2</xdr:col>
      <xdr:colOff>7191374</xdr:colOff>
      <xdr:row>25</xdr:row>
      <xdr:rowOff>48981</xdr:rowOff>
    </xdr:to>
    <xdr:sp macro="" textlink="">
      <xdr:nvSpPr>
        <xdr:cNvPr id="9" name="TextBox 8">
          <a:extLst>
            <a:ext uri="{FF2B5EF4-FFF2-40B4-BE49-F238E27FC236}">
              <a16:creationId xmlns:a16="http://schemas.microsoft.com/office/drawing/2014/main" id="{D8FE4C99-3F46-4832-BAC1-DBF49DA6CB92}"/>
            </a:ext>
          </a:extLst>
        </xdr:cNvPr>
        <xdr:cNvSpPr txBox="1"/>
      </xdr:nvSpPr>
      <xdr:spPr>
        <a:xfrm>
          <a:off x="561171" y="6744149"/>
          <a:ext cx="7031614" cy="6594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1.7: Demographic data and population dynamics</a:t>
          </a:r>
          <a:endParaRPr lang="en-US" sz="1100" b="1" baseline="0"/>
        </a:p>
        <a:p>
          <a:endParaRPr lang="en-US" sz="1100" b="1"/>
        </a:p>
        <a:p>
          <a:r>
            <a:rPr lang="en-US" sz="1100" b="0"/>
            <a:t>None</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132547</xdr:colOff>
      <xdr:row>25</xdr:row>
      <xdr:rowOff>138335</xdr:rowOff>
    </xdr:from>
    <xdr:to>
      <xdr:col>2</xdr:col>
      <xdr:colOff>7180036</xdr:colOff>
      <xdr:row>29</xdr:row>
      <xdr:rowOff>14508</xdr:rowOff>
    </xdr:to>
    <xdr:sp macro="" textlink="">
      <xdr:nvSpPr>
        <xdr:cNvPr id="10" name="TextBox 9">
          <a:extLst>
            <a:ext uri="{FF2B5EF4-FFF2-40B4-BE49-F238E27FC236}">
              <a16:creationId xmlns:a16="http://schemas.microsoft.com/office/drawing/2014/main" id="{FFA84E53-390C-4241-99AB-C92033B9F280}"/>
            </a:ext>
          </a:extLst>
        </xdr:cNvPr>
        <xdr:cNvSpPr txBox="1"/>
      </xdr:nvSpPr>
      <xdr:spPr>
        <a:xfrm>
          <a:off x="533958" y="7492996"/>
          <a:ext cx="7047489" cy="6653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1.8:</a:t>
          </a:r>
          <a:r>
            <a:rPr lang="en-US" sz="1100" b="1" baseline="0"/>
            <a:t> Primary health services: key indicators</a:t>
          </a:r>
        </a:p>
        <a:p>
          <a:endParaRPr lang="en-US" sz="1100" b="1"/>
        </a:p>
        <a:p>
          <a:r>
            <a:rPr lang="en-US" sz="1100" b="0"/>
            <a:t>None</a:t>
          </a:r>
          <a:endParaRPr lang="en-US" sz="1100" b="0">
            <a:solidFill>
              <a:schemeClr val="dk1"/>
            </a:solidFill>
            <a:effectLst/>
            <a:latin typeface="+mn-lt"/>
            <a:ea typeface="+mn-ea"/>
            <a:cs typeface="+mn-cs"/>
          </a:endParaRPr>
        </a:p>
        <a:p>
          <a:endParaRPr lang="en-US" sz="1100" b="1"/>
        </a:p>
      </xdr:txBody>
    </xdr:sp>
    <xdr:clientData/>
  </xdr:twoCellAnchor>
  <xdr:twoCellAnchor>
    <xdr:from>
      <xdr:col>2</xdr:col>
      <xdr:colOff>135722</xdr:colOff>
      <xdr:row>29</xdr:row>
      <xdr:rowOff>104322</xdr:rowOff>
    </xdr:from>
    <xdr:to>
      <xdr:col>2</xdr:col>
      <xdr:colOff>7186386</xdr:colOff>
      <xdr:row>32</xdr:row>
      <xdr:rowOff>180976</xdr:rowOff>
    </xdr:to>
    <xdr:sp macro="" textlink="">
      <xdr:nvSpPr>
        <xdr:cNvPr id="11" name="TextBox 10">
          <a:extLst>
            <a:ext uri="{FF2B5EF4-FFF2-40B4-BE49-F238E27FC236}">
              <a16:creationId xmlns:a16="http://schemas.microsoft.com/office/drawing/2014/main" id="{8E22538A-46B0-46D8-B94D-BA7072B439C2}"/>
            </a:ext>
          </a:extLst>
        </xdr:cNvPr>
        <xdr:cNvSpPr txBox="1"/>
      </xdr:nvSpPr>
      <xdr:spPr>
        <a:xfrm>
          <a:off x="537133" y="8248198"/>
          <a:ext cx="7050664" cy="6685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1.9: Systems thinking</a:t>
          </a:r>
          <a:endParaRPr lang="en-US" sz="1100" b="1" baseline="0"/>
        </a:p>
        <a:p>
          <a:endParaRPr lang="en-US" sz="1100" b="1"/>
        </a:p>
        <a:p>
          <a:r>
            <a:rPr lang="en-US" sz="1100" b="0">
              <a:solidFill>
                <a:schemeClr val="dk1"/>
              </a:solidFill>
              <a:effectLst/>
              <a:latin typeface="+mn-lt"/>
              <a:ea typeface="+mn-ea"/>
              <a:cs typeface="+mn-cs"/>
            </a:rPr>
            <a:t>1.9.1</a:t>
          </a:r>
          <a:r>
            <a:rPr lang="en-US" sz="1100" b="0" baseline="0">
              <a:solidFill>
                <a:schemeClr val="dk1"/>
              </a:solidFill>
              <a:effectLst/>
              <a:latin typeface="+mn-lt"/>
              <a:ea typeface="+mn-ea"/>
              <a:cs typeface="+mn-cs"/>
            </a:rPr>
            <a:t> Explain the interaction between ecosystems change and human/animal health outcomes</a:t>
          </a:r>
          <a:endParaRPr lang="en-US" sz="1100" b="0">
            <a:solidFill>
              <a:schemeClr val="dk1"/>
            </a:solidFill>
            <a:effectLst/>
            <a:latin typeface="+mn-lt"/>
            <a:ea typeface="+mn-ea"/>
            <a:cs typeface="+mn-cs"/>
          </a:endParaRPr>
        </a:p>
        <a:p>
          <a:endParaRPr lang="en-US" sz="11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151041</xdr:colOff>
      <xdr:row>5</xdr:row>
      <xdr:rowOff>66224</xdr:rowOff>
    </xdr:from>
    <xdr:to>
      <xdr:col>2</xdr:col>
      <xdr:colOff>7198179</xdr:colOff>
      <xdr:row>6</xdr:row>
      <xdr:rowOff>312963</xdr:rowOff>
    </xdr:to>
    <xdr:sp macro="" textlink="">
      <xdr:nvSpPr>
        <xdr:cNvPr id="2" name="TextBox 1">
          <a:extLst>
            <a:ext uri="{FF2B5EF4-FFF2-40B4-BE49-F238E27FC236}">
              <a16:creationId xmlns:a16="http://schemas.microsoft.com/office/drawing/2014/main" id="{2CE88E03-04F9-4F07-93F9-C705E2ECF52A}"/>
            </a:ext>
          </a:extLst>
        </xdr:cNvPr>
        <xdr:cNvSpPr txBox="1"/>
      </xdr:nvSpPr>
      <xdr:spPr>
        <a:xfrm>
          <a:off x="552452" y="1338493"/>
          <a:ext cx="7047138" cy="7502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2.1: Characteristics of a functional surveillance system </a:t>
          </a:r>
        </a:p>
        <a:p>
          <a:endParaRPr lang="en-US" sz="1100" b="1"/>
        </a:p>
        <a:p>
          <a:pPr lvl="0"/>
          <a:r>
            <a:rPr lang="en-US" sz="1100">
              <a:solidFill>
                <a:schemeClr val="dk1"/>
              </a:solidFill>
              <a:effectLst/>
              <a:latin typeface="+mn-lt"/>
              <a:ea typeface="+mn-ea"/>
              <a:cs typeface="+mn-cs"/>
            </a:rPr>
            <a:t>2.1.1 Describe the role and objective of surveillance systems in public health, animal health and environmental health </a:t>
          </a:r>
        </a:p>
      </xdr:txBody>
    </xdr:sp>
    <xdr:clientData/>
  </xdr:twoCellAnchor>
  <xdr:twoCellAnchor>
    <xdr:from>
      <xdr:col>2</xdr:col>
      <xdr:colOff>153865</xdr:colOff>
      <xdr:row>6</xdr:row>
      <xdr:rowOff>448572</xdr:rowOff>
    </xdr:from>
    <xdr:to>
      <xdr:col>2</xdr:col>
      <xdr:colOff>7198179</xdr:colOff>
      <xdr:row>9</xdr:row>
      <xdr:rowOff>117111</xdr:rowOff>
    </xdr:to>
    <xdr:sp macro="" textlink="">
      <xdr:nvSpPr>
        <xdr:cNvPr id="4" name="TextBox 3">
          <a:extLst>
            <a:ext uri="{FF2B5EF4-FFF2-40B4-BE49-F238E27FC236}">
              <a16:creationId xmlns:a16="http://schemas.microsoft.com/office/drawing/2014/main" id="{64480D36-7B84-4FC2-B43D-33ABEDCEF007}"/>
            </a:ext>
          </a:extLst>
        </xdr:cNvPr>
        <xdr:cNvSpPr txBox="1"/>
      </xdr:nvSpPr>
      <xdr:spPr>
        <a:xfrm>
          <a:off x="544234" y="2470683"/>
          <a:ext cx="7044314" cy="23152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2.2: Detection</a:t>
          </a:r>
          <a:r>
            <a:rPr lang="en-US" sz="1100" b="1" baseline="0"/>
            <a:t> and reporting of cases, clusters, and health threats</a:t>
          </a:r>
          <a:endParaRPr lang="en-US" sz="1100" b="1"/>
        </a:p>
        <a:p>
          <a:endParaRPr lang="en-US" sz="1100" b="1"/>
        </a:p>
        <a:p>
          <a:pPr lvl="0"/>
          <a:r>
            <a:rPr lang="en-US" sz="1100">
              <a:solidFill>
                <a:schemeClr val="dk1"/>
              </a:solidFill>
              <a:effectLst/>
              <a:latin typeface="+mn-lt"/>
              <a:ea typeface="+mn-ea"/>
              <a:cs typeface="+mn-cs"/>
            </a:rPr>
            <a:t>2.2.1 Identify</a:t>
          </a:r>
          <a:r>
            <a:rPr lang="en-US" sz="1100" baseline="0">
              <a:solidFill>
                <a:schemeClr val="dk1"/>
              </a:solidFill>
              <a:effectLst/>
              <a:latin typeface="+mn-lt"/>
              <a:ea typeface="+mn-ea"/>
              <a:cs typeface="+mn-cs"/>
            </a:rPr>
            <a:t> health threats (signals) from community and media sources</a:t>
          </a:r>
        </a:p>
        <a:p>
          <a:pPr lvl="0"/>
          <a:endParaRPr lang="en-US" sz="1100" baseline="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2.2.2 Apply case definitions for priority diseases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2.2.3 Differentiate between types of surveillance (e.g., indicator-based, event-based, etc.) and types of surveillance systems (e.g., sentinel, hospital, lab, risk-based, etc.)</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2.2.4 Perform signal detection from both indicator-based</a:t>
          </a:r>
          <a:r>
            <a:rPr lang="en-US" sz="1100" baseline="0">
              <a:solidFill>
                <a:schemeClr val="dk1"/>
              </a:solidFill>
              <a:effectLst/>
              <a:latin typeface="+mn-lt"/>
              <a:ea typeface="+mn-ea"/>
              <a:cs typeface="+mn-cs"/>
            </a:rPr>
            <a:t> surveillance and event-based surveillance</a:t>
          </a:r>
          <a:endParaRPr lang="en-US" sz="1100">
            <a:solidFill>
              <a:schemeClr val="dk1"/>
            </a:solidFill>
            <a:effectLst/>
            <a:latin typeface="+mn-lt"/>
            <a:ea typeface="+mn-ea"/>
            <a:cs typeface="+mn-cs"/>
          </a:endParaRPr>
        </a:p>
        <a:p>
          <a:endParaRPr lang="en-US" sz="1100" b="1"/>
        </a:p>
        <a:p>
          <a:r>
            <a:rPr lang="en-US" sz="1100" b="0"/>
            <a:t>2.2.5 Verify signals</a:t>
          </a:r>
          <a:r>
            <a:rPr lang="en-US" sz="1100" b="0" baseline="0"/>
            <a:t> using signal-alert-event logic</a:t>
          </a:r>
          <a:endParaRPr lang="en-US" sz="1100" b="0"/>
        </a:p>
      </xdr:txBody>
    </xdr:sp>
    <xdr:clientData/>
  </xdr:twoCellAnchor>
  <xdr:twoCellAnchor>
    <xdr:from>
      <xdr:col>2</xdr:col>
      <xdr:colOff>142421</xdr:colOff>
      <xdr:row>9</xdr:row>
      <xdr:rowOff>295488</xdr:rowOff>
    </xdr:from>
    <xdr:to>
      <xdr:col>2</xdr:col>
      <xdr:colOff>7195038</xdr:colOff>
      <xdr:row>11</xdr:row>
      <xdr:rowOff>320441</xdr:rowOff>
    </xdr:to>
    <xdr:sp macro="" textlink="">
      <xdr:nvSpPr>
        <xdr:cNvPr id="5" name="TextBox 4">
          <a:extLst>
            <a:ext uri="{FF2B5EF4-FFF2-40B4-BE49-F238E27FC236}">
              <a16:creationId xmlns:a16="http://schemas.microsoft.com/office/drawing/2014/main" id="{A249DBE7-8BE8-4CD8-AD15-6D926F9EB33E}"/>
            </a:ext>
          </a:extLst>
        </xdr:cNvPr>
        <xdr:cNvSpPr txBox="1"/>
      </xdr:nvSpPr>
      <xdr:spPr>
        <a:xfrm>
          <a:off x="532790" y="4964299"/>
          <a:ext cx="7052617" cy="1039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2.3: Surveillance</a:t>
          </a:r>
          <a:r>
            <a:rPr lang="en-US" sz="1100" b="1" baseline="0"/>
            <a:t> data collection, analysis and interpretation</a:t>
          </a:r>
          <a:endParaRPr lang="en-US" sz="1100" b="1"/>
        </a:p>
        <a:p>
          <a:endParaRPr lang="en-US" sz="1100" b="1"/>
        </a:p>
        <a:p>
          <a:pPr eaLnBrk="1" fontAlgn="auto" latinLnBrk="0" hangingPunct="1"/>
          <a:r>
            <a:rPr lang="en-US" sz="1100">
              <a:solidFill>
                <a:schemeClr val="dk1"/>
              </a:solidFill>
              <a:effectLst/>
              <a:latin typeface="+mn-lt"/>
              <a:ea typeface="+mn-ea"/>
              <a:cs typeface="+mn-cs"/>
            </a:rPr>
            <a:t>2.3.1</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Notify authorities of priority diseases that exceeds thresholds</a:t>
          </a:r>
        </a:p>
        <a:p>
          <a:pPr eaLnBrk="1" fontAlgn="auto" latinLnBrk="0" hangingPunct="1"/>
          <a:endParaRPr lang="en-US" sz="1100">
            <a:solidFill>
              <a:schemeClr val="dk1"/>
            </a:solidFill>
            <a:effectLst/>
            <a:latin typeface="+mn-lt"/>
            <a:ea typeface="+mn-ea"/>
            <a:cs typeface="+mn-cs"/>
          </a:endParaRPr>
        </a:p>
        <a:p>
          <a:pPr eaLnBrk="1" fontAlgn="auto" latinLnBrk="0" hangingPunct="1"/>
          <a:r>
            <a:rPr lang="en-US" sz="1100">
              <a:solidFill>
                <a:schemeClr val="dk1"/>
              </a:solidFill>
              <a:effectLst/>
              <a:latin typeface="+mn-lt"/>
              <a:ea typeface="+mn-ea"/>
              <a:cs typeface="+mn-cs"/>
            </a:rPr>
            <a:t>2.3.2</a:t>
          </a:r>
          <a:r>
            <a:rPr lang="en-US" sz="1100" baseline="0">
              <a:solidFill>
                <a:schemeClr val="dk1"/>
              </a:solidFill>
              <a:effectLst/>
              <a:latin typeface="+mn-lt"/>
              <a:ea typeface="+mn-ea"/>
              <a:cs typeface="+mn-cs"/>
            </a:rPr>
            <a:t> Analyse surveillance data using descriptive epidemiological and simple statistical methods</a:t>
          </a:r>
          <a:endParaRPr lang="en-US">
            <a:effectLst/>
          </a:endParaRPr>
        </a:p>
        <a:p>
          <a:endParaRPr lang="en-US" sz="1100" b="1"/>
        </a:p>
      </xdr:txBody>
    </xdr:sp>
    <xdr:clientData/>
  </xdr:twoCellAnchor>
  <xdr:twoCellAnchor>
    <xdr:from>
      <xdr:col>2</xdr:col>
      <xdr:colOff>146538</xdr:colOff>
      <xdr:row>11</xdr:row>
      <xdr:rowOff>486211</xdr:rowOff>
    </xdr:from>
    <xdr:to>
      <xdr:col>2</xdr:col>
      <xdr:colOff>7191863</xdr:colOff>
      <xdr:row>13</xdr:row>
      <xdr:rowOff>160159</xdr:rowOff>
    </xdr:to>
    <xdr:sp macro="" textlink="">
      <xdr:nvSpPr>
        <xdr:cNvPr id="6" name="TextBox 5">
          <a:extLst>
            <a:ext uri="{FF2B5EF4-FFF2-40B4-BE49-F238E27FC236}">
              <a16:creationId xmlns:a16="http://schemas.microsoft.com/office/drawing/2014/main" id="{0E1415A1-B2F6-4143-9498-86E43C8F760E}"/>
            </a:ext>
          </a:extLst>
        </xdr:cNvPr>
        <xdr:cNvSpPr txBox="1"/>
      </xdr:nvSpPr>
      <xdr:spPr>
        <a:xfrm>
          <a:off x="536907" y="6169981"/>
          <a:ext cx="7045325" cy="6889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2.4: Surveillance reporting</a:t>
          </a:r>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2.4.</a:t>
          </a:r>
          <a:r>
            <a:rPr lang="en-US" sz="1100" baseline="0">
              <a:solidFill>
                <a:schemeClr val="dk1"/>
              </a:solidFill>
              <a:effectLst/>
              <a:latin typeface="+mn-lt"/>
              <a:ea typeface="+mn-ea"/>
              <a:cs typeface="+mn-cs"/>
            </a:rPr>
            <a:t>1 Prepare basic situation reports for potential health threats</a:t>
          </a:r>
          <a:endParaRPr lang="en-US" sz="1100">
            <a:solidFill>
              <a:schemeClr val="dk1"/>
            </a:solidFill>
            <a:effectLst/>
            <a:latin typeface="+mn-lt"/>
            <a:ea typeface="+mn-ea"/>
            <a:cs typeface="+mn-cs"/>
          </a:endParaRPr>
        </a:p>
      </xdr:txBody>
    </xdr:sp>
    <xdr:clientData/>
  </xdr:twoCellAnchor>
  <xdr:twoCellAnchor>
    <xdr:from>
      <xdr:col>2</xdr:col>
      <xdr:colOff>141061</xdr:colOff>
      <xdr:row>13</xdr:row>
      <xdr:rowOff>333913</xdr:rowOff>
    </xdr:from>
    <xdr:to>
      <xdr:col>2</xdr:col>
      <xdr:colOff>7195038</xdr:colOff>
      <xdr:row>14</xdr:row>
      <xdr:rowOff>577747</xdr:rowOff>
    </xdr:to>
    <xdr:sp macro="" textlink="">
      <xdr:nvSpPr>
        <xdr:cNvPr id="7" name="TextBox 6">
          <a:extLst>
            <a:ext uri="{FF2B5EF4-FFF2-40B4-BE49-F238E27FC236}">
              <a16:creationId xmlns:a16="http://schemas.microsoft.com/office/drawing/2014/main" id="{965A7B27-2F5E-46B0-A10F-4F2AA49F474C}"/>
            </a:ext>
          </a:extLst>
        </xdr:cNvPr>
        <xdr:cNvSpPr txBox="1"/>
      </xdr:nvSpPr>
      <xdr:spPr>
        <a:xfrm>
          <a:off x="531430" y="7290287"/>
          <a:ext cx="7053977" cy="751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2.5: Monitor</a:t>
          </a:r>
          <a:r>
            <a:rPr lang="en-US" sz="1100" b="1" baseline="0"/>
            <a:t> and assess the quality of surveillance data</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2.5.1</a:t>
          </a:r>
          <a:r>
            <a:rPr lang="en-US" sz="1100" baseline="0">
              <a:solidFill>
                <a:schemeClr val="dk1"/>
              </a:solidFill>
              <a:effectLst/>
              <a:latin typeface="+mn-lt"/>
              <a:ea typeface="+mn-ea"/>
              <a:cs typeface="+mn-cs"/>
            </a:rPr>
            <a:t> Ensure the timeliness, completeness and quality of reported data</a:t>
          </a:r>
          <a:endParaRPr lang="en-US" sz="1100">
            <a:solidFill>
              <a:schemeClr val="dk1"/>
            </a:solidFill>
            <a:effectLst/>
            <a:latin typeface="+mn-lt"/>
            <a:ea typeface="+mn-ea"/>
            <a:cs typeface="+mn-cs"/>
          </a:endParaRPr>
        </a:p>
        <a:p>
          <a:endParaRPr lang="en-US" sz="1100" b="1"/>
        </a:p>
        <a:p>
          <a:endParaRPr lang="en-US" sz="1100" b="1"/>
        </a:p>
      </xdr:txBody>
    </xdr:sp>
    <xdr:clientData/>
  </xdr:twoCellAnchor>
  <xdr:twoCellAnchor>
    <xdr:from>
      <xdr:col>2</xdr:col>
      <xdr:colOff>146538</xdr:colOff>
      <xdr:row>15</xdr:row>
      <xdr:rowOff>92331</xdr:rowOff>
    </xdr:from>
    <xdr:to>
      <xdr:col>2</xdr:col>
      <xdr:colOff>7202365</xdr:colOff>
      <xdr:row>16</xdr:row>
      <xdr:rowOff>221984</xdr:rowOff>
    </xdr:to>
    <xdr:sp macro="" textlink="">
      <xdr:nvSpPr>
        <xdr:cNvPr id="8" name="TextBox 7">
          <a:extLst>
            <a:ext uri="{FF2B5EF4-FFF2-40B4-BE49-F238E27FC236}">
              <a16:creationId xmlns:a16="http://schemas.microsoft.com/office/drawing/2014/main" id="{F7A5FB06-1E57-4E02-AC7B-E91FA25C9959}"/>
            </a:ext>
          </a:extLst>
        </xdr:cNvPr>
        <xdr:cNvSpPr txBox="1"/>
      </xdr:nvSpPr>
      <xdr:spPr>
        <a:xfrm>
          <a:off x="536907" y="8282270"/>
          <a:ext cx="7055827" cy="7776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2.6: Surveillance systems</a:t>
          </a:r>
          <a:r>
            <a:rPr lang="en-US" sz="1100" b="1" baseline="0"/>
            <a:t> design and evaluation</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None</a:t>
          </a:r>
        </a:p>
        <a:p>
          <a:endParaRPr lang="en-US" sz="11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151041</xdr:colOff>
      <xdr:row>4</xdr:row>
      <xdr:rowOff>178258</xdr:rowOff>
    </xdr:from>
    <xdr:to>
      <xdr:col>2</xdr:col>
      <xdr:colOff>7198179</xdr:colOff>
      <xdr:row>8</xdr:row>
      <xdr:rowOff>489858</xdr:rowOff>
    </xdr:to>
    <xdr:sp macro="" textlink="">
      <xdr:nvSpPr>
        <xdr:cNvPr id="2" name="TextBox 1">
          <a:extLst>
            <a:ext uri="{FF2B5EF4-FFF2-40B4-BE49-F238E27FC236}">
              <a16:creationId xmlns:a16="http://schemas.microsoft.com/office/drawing/2014/main" id="{09A18F5B-4C36-4F9F-B020-84563E33855B}"/>
            </a:ext>
          </a:extLst>
        </xdr:cNvPr>
        <xdr:cNvSpPr txBox="1"/>
      </xdr:nvSpPr>
      <xdr:spPr>
        <a:xfrm>
          <a:off x="545648" y="1266829"/>
          <a:ext cx="7047138" cy="2026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3.1: Field</a:t>
          </a:r>
          <a:r>
            <a:rPr lang="en-US" sz="1100" b="1" baseline="0"/>
            <a:t> preparation</a:t>
          </a:r>
          <a:endParaRPr lang="en-US" sz="1100" b="1"/>
        </a:p>
        <a:p>
          <a:endParaRPr lang="en-US" sz="1100" b="1"/>
        </a:p>
        <a:p>
          <a:pPr lvl="0"/>
          <a:r>
            <a:rPr lang="en-AU" sz="1100">
              <a:solidFill>
                <a:schemeClr val="dk1"/>
              </a:solidFill>
              <a:effectLst/>
              <a:latin typeface="+mn-lt"/>
              <a:ea typeface="+mn-ea"/>
              <a:cs typeface="+mn-cs"/>
            </a:rPr>
            <a:t>3.1.1</a:t>
          </a:r>
          <a:r>
            <a:rPr lang="en-AU" sz="1100" baseline="0">
              <a:solidFill>
                <a:schemeClr val="dk1"/>
              </a:solidFill>
              <a:effectLst/>
              <a:latin typeface="+mn-lt"/>
              <a:ea typeface="+mn-ea"/>
              <a:cs typeface="+mn-cs"/>
            </a:rPr>
            <a:t> Explain objectives of field investigation</a:t>
          </a:r>
        </a:p>
        <a:p>
          <a:pPr lvl="0"/>
          <a:endParaRPr lang="en-US" sz="1100">
            <a:solidFill>
              <a:schemeClr val="dk1"/>
            </a:solidFill>
            <a:effectLst/>
            <a:latin typeface="+mn-lt"/>
            <a:ea typeface="+mn-ea"/>
            <a:cs typeface="+mn-cs"/>
          </a:endParaRPr>
        </a:p>
        <a:p>
          <a:pPr lvl="0"/>
          <a:r>
            <a:rPr lang="en-AU" sz="1100">
              <a:solidFill>
                <a:schemeClr val="dk1"/>
              </a:solidFill>
              <a:effectLst/>
              <a:latin typeface="+mn-lt"/>
              <a:ea typeface="+mn-ea"/>
              <a:cs typeface="+mn-cs"/>
            </a:rPr>
            <a:t>3.1.2 Apply ethics in field investigations</a:t>
          </a:r>
        </a:p>
        <a:p>
          <a:pPr lvl="0"/>
          <a:endParaRPr lang="en-AU" sz="1100">
            <a:solidFill>
              <a:schemeClr val="dk1"/>
            </a:solidFill>
            <a:effectLst/>
            <a:latin typeface="+mn-lt"/>
            <a:ea typeface="+mn-ea"/>
            <a:cs typeface="+mn-cs"/>
          </a:endParaRPr>
        </a:p>
        <a:p>
          <a:pPr lvl="0"/>
          <a:r>
            <a:rPr lang="en-AU" sz="1100">
              <a:solidFill>
                <a:schemeClr val="dk1"/>
              </a:solidFill>
              <a:effectLst/>
              <a:latin typeface="+mn-lt"/>
              <a:ea typeface="+mn-ea"/>
              <a:cs typeface="+mn-cs"/>
            </a:rPr>
            <a:t>3.1.3</a:t>
          </a:r>
          <a:r>
            <a:rPr lang="en-US" sz="1100" baseline="0">
              <a:solidFill>
                <a:schemeClr val="dk1"/>
              </a:solidFill>
              <a:effectLst/>
              <a:latin typeface="+mn-lt"/>
              <a:ea typeface="+mn-ea"/>
              <a:cs typeface="+mn-cs"/>
            </a:rPr>
            <a:t> </a:t>
          </a:r>
          <a:r>
            <a:rPr lang="en-GB" sz="1100">
              <a:solidFill>
                <a:schemeClr val="dk1"/>
              </a:solidFill>
              <a:effectLst/>
              <a:latin typeface="+mn-lt"/>
              <a:ea typeface="+mn-ea"/>
              <a:cs typeface="+mn-cs"/>
            </a:rPr>
            <a:t>Prepare logistics for field visits, interviews</a:t>
          </a:r>
          <a:r>
            <a:rPr lang="en-GB" sz="1100" baseline="0">
              <a:solidFill>
                <a:schemeClr val="dk1"/>
              </a:solidFill>
              <a:effectLst/>
              <a:latin typeface="+mn-lt"/>
              <a:ea typeface="+mn-ea"/>
              <a:cs typeface="+mn-cs"/>
            </a:rPr>
            <a:t> and</a:t>
          </a:r>
          <a:r>
            <a:rPr lang="en-GB" sz="1100">
              <a:solidFill>
                <a:schemeClr val="dk1"/>
              </a:solidFill>
              <a:effectLst/>
              <a:latin typeface="+mn-lt"/>
              <a:ea typeface="+mn-ea"/>
              <a:cs typeface="+mn-cs"/>
            </a:rPr>
            <a:t> sample collection, including PPE and transport</a:t>
          </a:r>
        </a:p>
        <a:p>
          <a:pPr lvl="0"/>
          <a:endParaRPr lang="en-US" sz="1100">
            <a:solidFill>
              <a:schemeClr val="dk1"/>
            </a:solidFill>
            <a:effectLst/>
            <a:latin typeface="+mn-lt"/>
            <a:ea typeface="+mn-ea"/>
            <a:cs typeface="+mn-cs"/>
          </a:endParaRPr>
        </a:p>
        <a:p>
          <a:pPr lvl="0"/>
          <a:r>
            <a:rPr lang="en-GB" sz="1100">
              <a:solidFill>
                <a:schemeClr val="dk1"/>
              </a:solidFill>
              <a:effectLst/>
              <a:latin typeface="+mn-lt"/>
              <a:ea typeface="+mn-ea"/>
              <a:cs typeface="+mn-cs"/>
            </a:rPr>
            <a:t>3.1.4 Apply standard operating procedures (SOPs)</a:t>
          </a:r>
        </a:p>
        <a:p>
          <a:pPr lvl="0"/>
          <a:endParaRPr lang="en-US" sz="1100">
            <a:solidFill>
              <a:schemeClr val="dk1"/>
            </a:solidFill>
            <a:effectLst/>
            <a:latin typeface="+mn-lt"/>
            <a:ea typeface="+mn-ea"/>
            <a:cs typeface="+mn-cs"/>
          </a:endParaRPr>
        </a:p>
        <a:p>
          <a:r>
            <a:rPr lang="en-GB" sz="1100">
              <a:solidFill>
                <a:schemeClr val="dk1"/>
              </a:solidFill>
              <a:effectLst/>
              <a:latin typeface="+mn-lt"/>
              <a:ea typeface="+mn-ea"/>
              <a:cs typeface="+mn-cs"/>
            </a:rPr>
            <a:t>3.1.5</a:t>
          </a:r>
          <a:r>
            <a:rPr lang="en-GB" sz="1100" baseline="0">
              <a:solidFill>
                <a:schemeClr val="dk1"/>
              </a:solidFill>
              <a:effectLst/>
              <a:latin typeface="+mn-lt"/>
              <a:ea typeface="+mn-ea"/>
              <a:cs typeface="+mn-cs"/>
            </a:rPr>
            <a:t> Contribute to the design of data collection tools</a:t>
          </a:r>
          <a:endParaRPr lang="en-US" sz="1100">
            <a:solidFill>
              <a:schemeClr val="dk1"/>
            </a:solidFill>
            <a:effectLst/>
            <a:latin typeface="+mn-lt"/>
            <a:ea typeface="+mn-ea"/>
            <a:cs typeface="+mn-cs"/>
          </a:endParaRPr>
        </a:p>
      </xdr:txBody>
    </xdr:sp>
    <xdr:clientData/>
  </xdr:twoCellAnchor>
  <xdr:twoCellAnchor>
    <xdr:from>
      <xdr:col>2</xdr:col>
      <xdr:colOff>153865</xdr:colOff>
      <xdr:row>9</xdr:row>
      <xdr:rowOff>38857</xdr:rowOff>
    </xdr:from>
    <xdr:to>
      <xdr:col>2</xdr:col>
      <xdr:colOff>7198179</xdr:colOff>
      <xdr:row>14</xdr:row>
      <xdr:rowOff>113696</xdr:rowOff>
    </xdr:to>
    <xdr:sp macro="" textlink="">
      <xdr:nvSpPr>
        <xdr:cNvPr id="4" name="TextBox 3">
          <a:extLst>
            <a:ext uri="{FF2B5EF4-FFF2-40B4-BE49-F238E27FC236}">
              <a16:creationId xmlns:a16="http://schemas.microsoft.com/office/drawing/2014/main" id="{8084DBD5-330F-41A3-85A1-CE95B439A325}"/>
            </a:ext>
          </a:extLst>
        </xdr:cNvPr>
        <xdr:cNvSpPr txBox="1"/>
      </xdr:nvSpPr>
      <xdr:spPr>
        <a:xfrm>
          <a:off x="554918" y="3441539"/>
          <a:ext cx="7044314" cy="27756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3.2: Investigation </a:t>
          </a:r>
        </a:p>
        <a:p>
          <a:endParaRPr lang="en-US" sz="1100" b="1"/>
        </a:p>
        <a:p>
          <a:pPr lvl="0"/>
          <a:r>
            <a:rPr lang="en-US" sz="1100">
              <a:solidFill>
                <a:schemeClr val="dk1"/>
              </a:solidFill>
              <a:effectLst/>
              <a:latin typeface="+mn-lt"/>
              <a:ea typeface="+mn-ea"/>
              <a:cs typeface="+mn-cs"/>
            </a:rPr>
            <a:t>3.2.1 </a:t>
          </a:r>
          <a:r>
            <a:rPr lang="en-AU" sz="1100">
              <a:solidFill>
                <a:schemeClr val="dk1"/>
              </a:solidFill>
              <a:effectLst/>
              <a:latin typeface="+mn-lt"/>
              <a:ea typeface="+mn-ea"/>
              <a:cs typeface="+mn-cs"/>
            </a:rPr>
            <a:t>Apply basic biosafety and biosecurity methods </a:t>
          </a:r>
        </a:p>
        <a:p>
          <a:pPr lvl="0"/>
          <a:endParaRPr lang="en-AU" sz="1100">
            <a:solidFill>
              <a:schemeClr val="dk1"/>
            </a:solidFill>
            <a:effectLst/>
            <a:latin typeface="+mn-lt"/>
            <a:ea typeface="+mn-ea"/>
            <a:cs typeface="+mn-cs"/>
          </a:endParaRPr>
        </a:p>
        <a:p>
          <a:pPr lvl="0"/>
          <a:r>
            <a:rPr lang="en-AU" sz="1100">
              <a:solidFill>
                <a:schemeClr val="dk1"/>
              </a:solidFill>
              <a:effectLst/>
              <a:latin typeface="+mn-lt"/>
              <a:ea typeface="+mn-ea"/>
              <a:cs typeface="+mn-cs"/>
            </a:rPr>
            <a:t>3.2.2</a:t>
          </a:r>
          <a:r>
            <a:rPr lang="en-AU" sz="1100" baseline="0">
              <a:solidFill>
                <a:schemeClr val="dk1"/>
              </a:solidFill>
              <a:effectLst/>
              <a:latin typeface="+mn-lt"/>
              <a:ea typeface="+mn-ea"/>
              <a:cs typeface="+mn-cs"/>
            </a:rPr>
            <a:t> </a:t>
          </a:r>
          <a:r>
            <a:rPr lang="en-AU" sz="1100">
              <a:solidFill>
                <a:schemeClr val="dk1"/>
              </a:solidFill>
              <a:effectLst/>
              <a:latin typeface="+mn-lt"/>
              <a:ea typeface="+mn-ea"/>
              <a:cs typeface="+mn-cs"/>
            </a:rPr>
            <a:t>Detect cases/ outbreaks</a:t>
          </a:r>
          <a:r>
            <a:rPr lang="en-AU" sz="1100" baseline="0">
              <a:solidFill>
                <a:schemeClr val="dk1"/>
              </a:solidFill>
              <a:effectLst/>
              <a:latin typeface="+mn-lt"/>
              <a:ea typeface="+mn-ea"/>
              <a:cs typeface="+mn-cs"/>
            </a:rPr>
            <a:t> working </a:t>
          </a:r>
          <a:r>
            <a:rPr lang="en-AU" sz="1100">
              <a:solidFill>
                <a:schemeClr val="dk1"/>
              </a:solidFill>
              <a:effectLst/>
              <a:latin typeface="+mn-lt"/>
              <a:ea typeface="+mn-ea"/>
              <a:cs typeface="+mn-cs"/>
            </a:rPr>
            <a:t>forward and backward </a:t>
          </a:r>
        </a:p>
        <a:p>
          <a:pPr lvl="0"/>
          <a:endParaRPr lang="en-AU" sz="1100">
            <a:solidFill>
              <a:schemeClr val="dk1"/>
            </a:solidFill>
            <a:effectLst/>
            <a:latin typeface="+mn-lt"/>
            <a:ea typeface="+mn-ea"/>
            <a:cs typeface="+mn-cs"/>
          </a:endParaRPr>
        </a:p>
        <a:p>
          <a:pPr lvl="0"/>
          <a:r>
            <a:rPr lang="en-AU" sz="1100">
              <a:solidFill>
                <a:schemeClr val="dk1"/>
              </a:solidFill>
              <a:effectLst/>
              <a:latin typeface="+mn-lt"/>
              <a:ea typeface="+mn-ea"/>
              <a:cs typeface="+mn-cs"/>
            </a:rPr>
            <a:t>3.2.3 Collect appropriate data (human/animal, space and time data) to support the field investigation </a:t>
          </a:r>
        </a:p>
        <a:p>
          <a:pPr lvl="0"/>
          <a:endParaRPr lang="en-AU" sz="1100">
            <a:solidFill>
              <a:schemeClr val="dk1"/>
            </a:solidFill>
            <a:effectLst/>
            <a:latin typeface="+mn-lt"/>
            <a:ea typeface="+mn-ea"/>
            <a:cs typeface="+mn-cs"/>
          </a:endParaRPr>
        </a:p>
        <a:p>
          <a:pPr lvl="0"/>
          <a:r>
            <a:rPr lang="en-AU" sz="1100">
              <a:solidFill>
                <a:schemeClr val="dk1"/>
              </a:solidFill>
              <a:effectLst/>
              <a:latin typeface="+mn-lt"/>
              <a:ea typeface="+mn-ea"/>
              <a:cs typeface="+mn-cs"/>
            </a:rPr>
            <a:t>3.2.4 Conduct onsite interviews (e.g., explorative)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3.2.5 Collect and submit</a:t>
          </a:r>
          <a:r>
            <a:rPr lang="en-US" sz="1100" baseline="0">
              <a:solidFill>
                <a:schemeClr val="dk1"/>
              </a:solidFill>
              <a:effectLst/>
              <a:latin typeface="+mn-lt"/>
              <a:ea typeface="+mn-ea"/>
              <a:cs typeface="+mn-cs"/>
            </a:rPr>
            <a:t> laboratory specimens, following appropriate biosafety practices for sampling, packaging and transportation of samples</a:t>
          </a:r>
          <a:endParaRPr lang="en-US" sz="1100">
            <a:solidFill>
              <a:schemeClr val="dk1"/>
            </a:solidFill>
            <a:effectLst/>
            <a:latin typeface="+mn-lt"/>
            <a:ea typeface="+mn-ea"/>
            <a:cs typeface="+mn-cs"/>
          </a:endParaRPr>
        </a:p>
        <a:p>
          <a:endParaRPr lang="en-US" sz="1100" b="1"/>
        </a:p>
        <a:p>
          <a:r>
            <a:rPr lang="en-US" sz="1100" b="0"/>
            <a:t>3.2.6 Implement</a:t>
          </a:r>
          <a:r>
            <a:rPr lang="en-US" sz="1100" b="0" baseline="0"/>
            <a:t> and monitor disease control intervention methods</a:t>
          </a:r>
          <a:r>
            <a:rPr lang="en-US" sz="1100" b="0"/>
            <a:t> </a:t>
          </a:r>
        </a:p>
      </xdr:txBody>
    </xdr:sp>
    <xdr:clientData/>
  </xdr:twoCellAnchor>
  <xdr:twoCellAnchor>
    <xdr:from>
      <xdr:col>2</xdr:col>
      <xdr:colOff>177380</xdr:colOff>
      <xdr:row>16</xdr:row>
      <xdr:rowOff>411147</xdr:rowOff>
    </xdr:from>
    <xdr:to>
      <xdr:col>2</xdr:col>
      <xdr:colOff>7236382</xdr:colOff>
      <xdr:row>18</xdr:row>
      <xdr:rowOff>469988</xdr:rowOff>
    </xdr:to>
    <xdr:sp macro="" textlink="">
      <xdr:nvSpPr>
        <xdr:cNvPr id="8" name="TextBox 7">
          <a:extLst>
            <a:ext uri="{FF2B5EF4-FFF2-40B4-BE49-F238E27FC236}">
              <a16:creationId xmlns:a16="http://schemas.microsoft.com/office/drawing/2014/main" id="{837A0D08-D6FC-4701-9F95-53F71E2485AA}"/>
            </a:ext>
          </a:extLst>
        </xdr:cNvPr>
        <xdr:cNvSpPr txBox="1"/>
      </xdr:nvSpPr>
      <xdr:spPr>
        <a:xfrm>
          <a:off x="578433" y="7529831"/>
          <a:ext cx="7059002" cy="11116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3.4: Reporting and follow-up</a:t>
          </a:r>
          <a:r>
            <a:rPr lang="en-US" sz="1100" b="1" baseline="0"/>
            <a:t> interventions</a:t>
          </a:r>
          <a:endParaRPr lang="en-US" sz="1100" b="1"/>
        </a:p>
        <a:p>
          <a:endParaRPr lang="en-US" sz="1100" b="0"/>
        </a:p>
        <a:p>
          <a:r>
            <a:rPr lang="en-US" sz="1100" b="0"/>
            <a:t>3.4.1</a:t>
          </a:r>
          <a:r>
            <a:rPr lang="en-US" sz="1100" b="0" baseline="0"/>
            <a:t> Prepare a standard investigation report</a:t>
          </a:r>
        </a:p>
        <a:p>
          <a:endParaRPr lang="en-US" sz="1100" b="0" baseline="0"/>
        </a:p>
        <a:p>
          <a:r>
            <a:rPr lang="en-US" sz="1100" b="0"/>
            <a:t>3.4.2 Communicate results and share recommendations with stakeholders</a:t>
          </a:r>
        </a:p>
      </xdr:txBody>
    </xdr:sp>
    <xdr:clientData/>
  </xdr:twoCellAnchor>
  <xdr:twoCellAnchor>
    <xdr:from>
      <xdr:col>2</xdr:col>
      <xdr:colOff>153795</xdr:colOff>
      <xdr:row>14</xdr:row>
      <xdr:rowOff>217350</xdr:rowOff>
    </xdr:from>
    <xdr:to>
      <xdr:col>2</xdr:col>
      <xdr:colOff>7222322</xdr:colOff>
      <xdr:row>16</xdr:row>
      <xdr:rowOff>313328</xdr:rowOff>
    </xdr:to>
    <xdr:sp macro="" textlink="">
      <xdr:nvSpPr>
        <xdr:cNvPr id="9" name="TextBox 8">
          <a:extLst>
            <a:ext uri="{FF2B5EF4-FFF2-40B4-BE49-F238E27FC236}">
              <a16:creationId xmlns:a16="http://schemas.microsoft.com/office/drawing/2014/main" id="{D8ED7A33-F0E8-48AE-952F-8DC6AE97597F}"/>
            </a:ext>
          </a:extLst>
        </xdr:cNvPr>
        <xdr:cNvSpPr txBox="1"/>
      </xdr:nvSpPr>
      <xdr:spPr>
        <a:xfrm>
          <a:off x="554848" y="6320870"/>
          <a:ext cx="7068527" cy="1111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3.3: Data management</a:t>
          </a:r>
          <a:r>
            <a:rPr lang="en-US" sz="1100" b="1" baseline="0"/>
            <a:t> and analysis</a:t>
          </a:r>
          <a:endParaRPr lang="en-US" sz="1100" b="1"/>
        </a:p>
        <a:p>
          <a:endParaRPr lang="en-US" sz="1100" b="1"/>
        </a:p>
        <a:p>
          <a:pPr lvl="0"/>
          <a:r>
            <a:rPr lang="en-AU" sz="1100">
              <a:solidFill>
                <a:schemeClr val="dk1"/>
              </a:solidFill>
              <a:effectLst/>
              <a:latin typeface="+mn-lt"/>
              <a:ea typeface="+mn-ea"/>
              <a:cs typeface="+mn-cs"/>
            </a:rPr>
            <a:t>3.3.1 Enter and validate data</a:t>
          </a:r>
        </a:p>
        <a:p>
          <a:pPr lvl="0"/>
          <a:endParaRPr lang="en-US" sz="1100">
            <a:solidFill>
              <a:schemeClr val="dk1"/>
            </a:solidFill>
            <a:effectLst/>
            <a:latin typeface="+mn-lt"/>
            <a:ea typeface="+mn-ea"/>
            <a:cs typeface="+mn-cs"/>
          </a:endParaRPr>
        </a:p>
        <a:p>
          <a:pPr lvl="0"/>
          <a:r>
            <a:rPr lang="en-AU" sz="1100">
              <a:solidFill>
                <a:schemeClr val="dk1"/>
              </a:solidFill>
              <a:effectLst/>
              <a:latin typeface="+mn-lt"/>
              <a:ea typeface="+mn-ea"/>
              <a:cs typeface="+mn-cs"/>
            </a:rPr>
            <a:t>3.3.2 Conduct descriptive analyses of collected data</a:t>
          </a:r>
        </a:p>
        <a:p>
          <a:pPr lvl="0"/>
          <a:endParaRPr lang="en-US" sz="1100">
            <a:solidFill>
              <a:schemeClr val="dk1"/>
            </a:solidFill>
            <a:effectLst/>
            <a:latin typeface="+mn-lt"/>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140608</xdr:colOff>
      <xdr:row>6</xdr:row>
      <xdr:rowOff>330427</xdr:rowOff>
    </xdr:from>
    <xdr:to>
      <xdr:col>2</xdr:col>
      <xdr:colOff>7184571</xdr:colOff>
      <xdr:row>9</xdr:row>
      <xdr:rowOff>219395</xdr:rowOff>
    </xdr:to>
    <xdr:sp macro="" textlink="">
      <xdr:nvSpPr>
        <xdr:cNvPr id="2" name="TextBox 1">
          <a:extLst>
            <a:ext uri="{FF2B5EF4-FFF2-40B4-BE49-F238E27FC236}">
              <a16:creationId xmlns:a16="http://schemas.microsoft.com/office/drawing/2014/main" id="{B65668CE-3898-4BBE-8619-E16707AA8834}"/>
            </a:ext>
          </a:extLst>
        </xdr:cNvPr>
        <xdr:cNvSpPr txBox="1"/>
      </xdr:nvSpPr>
      <xdr:spPr>
        <a:xfrm>
          <a:off x="541943" y="2749135"/>
          <a:ext cx="7043963" cy="13979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4.2: Antimicrobial</a:t>
          </a:r>
          <a:r>
            <a:rPr lang="en-US" sz="1100" b="1" baseline="0"/>
            <a:t> stewardship</a:t>
          </a:r>
          <a:endParaRPr lang="en-US" sz="1100" b="1"/>
        </a:p>
        <a:p>
          <a:endParaRPr lang="en-US" sz="1100" b="1"/>
        </a:p>
        <a:p>
          <a:pPr lvl="0"/>
          <a:r>
            <a:rPr lang="en-US" sz="1100">
              <a:solidFill>
                <a:schemeClr val="dk1"/>
              </a:solidFill>
              <a:effectLst/>
              <a:latin typeface="+mn-lt"/>
              <a:ea typeface="+mn-ea"/>
              <a:cs typeface="+mn-cs"/>
            </a:rPr>
            <a:t>4.2.1 Explain the importance</a:t>
          </a:r>
          <a:r>
            <a:rPr lang="en-US" sz="1100" baseline="0">
              <a:solidFill>
                <a:schemeClr val="dk1"/>
              </a:solidFill>
              <a:effectLst/>
              <a:latin typeface="+mn-lt"/>
              <a:ea typeface="+mn-ea"/>
              <a:cs typeface="+mn-cs"/>
            </a:rPr>
            <a:t> of antimicrobial stewardship</a:t>
          </a:r>
        </a:p>
        <a:p>
          <a:pPr lvl="0"/>
          <a:endParaRPr lang="en-US" sz="1100" baseline="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4.2.2 Promote antimicrobial stewardship at the local level</a:t>
          </a:r>
        </a:p>
        <a:p>
          <a:pPr lvl="0"/>
          <a:endParaRPr lang="en-US" sz="1100" baseline="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4.2.3 Collect antimicrobial usage and AMR data from human, animal and environmental sectors</a:t>
          </a:r>
          <a:endParaRPr lang="en-US" sz="1100">
            <a:solidFill>
              <a:schemeClr val="dk1"/>
            </a:solidFill>
            <a:effectLst/>
            <a:latin typeface="+mn-lt"/>
            <a:ea typeface="+mn-ea"/>
            <a:cs typeface="+mn-cs"/>
          </a:endParaRPr>
        </a:p>
      </xdr:txBody>
    </xdr:sp>
    <xdr:clientData/>
  </xdr:twoCellAnchor>
  <xdr:twoCellAnchor>
    <xdr:from>
      <xdr:col>2</xdr:col>
      <xdr:colOff>153866</xdr:colOff>
      <xdr:row>9</xdr:row>
      <xdr:rowOff>324926</xdr:rowOff>
    </xdr:from>
    <xdr:to>
      <xdr:col>2</xdr:col>
      <xdr:colOff>7201355</xdr:colOff>
      <xdr:row>19</xdr:row>
      <xdr:rowOff>32620</xdr:rowOff>
    </xdr:to>
    <xdr:sp macro="" textlink="">
      <xdr:nvSpPr>
        <xdr:cNvPr id="4" name="TextBox 3">
          <a:extLst>
            <a:ext uri="{FF2B5EF4-FFF2-40B4-BE49-F238E27FC236}">
              <a16:creationId xmlns:a16="http://schemas.microsoft.com/office/drawing/2014/main" id="{3F555C96-778D-4DAC-A5FE-41C2A6703EA4}"/>
            </a:ext>
          </a:extLst>
        </xdr:cNvPr>
        <xdr:cNvSpPr txBox="1"/>
      </xdr:nvSpPr>
      <xdr:spPr>
        <a:xfrm>
          <a:off x="545304" y="4232786"/>
          <a:ext cx="7047489" cy="3113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4.3: Immunizations</a:t>
          </a:r>
        </a:p>
        <a:p>
          <a:endParaRPr lang="en-US" sz="1100" b="1"/>
        </a:p>
        <a:p>
          <a:pPr lvl="0"/>
          <a:r>
            <a:rPr lang="en-US" sz="1100">
              <a:solidFill>
                <a:schemeClr val="dk1"/>
              </a:solidFill>
              <a:effectLst/>
              <a:latin typeface="+mn-lt"/>
              <a:ea typeface="+mn-ea"/>
              <a:cs typeface="+mn-cs"/>
            </a:rPr>
            <a:t>4.3.1 Explain the health benefits of vaccines for public health, animal health, food security and livelihoods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4.3.2 Describe the principles and importance of proper vaccine storage (cold chain) and delivery to remote areas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4.3.3 Ensure implementation of appropriate processes for vaccine cold</a:t>
          </a:r>
          <a:r>
            <a:rPr lang="en-US" sz="1100" baseline="0">
              <a:solidFill>
                <a:schemeClr val="dk1"/>
              </a:solidFill>
              <a:effectLst/>
              <a:latin typeface="+mn-lt"/>
              <a:ea typeface="+mn-ea"/>
              <a:cs typeface="+mn-cs"/>
            </a:rPr>
            <a:t> chain management, storage and supply</a:t>
          </a:r>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4.3.4 Demonstrate knowledge on appropriate vaccine administration and waste management</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4.3.5 Be able to communicate effectively in a context of vaccine hesitancy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4.3.6 Explain vaccine adverse events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4.3.7 Explain the causes of vaccine failure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4.3.8 Distinguish between routine/preventive, emergency and supplementary immunization activities</a:t>
          </a:r>
          <a:endParaRPr lang="en-US" sz="1100" b="1"/>
        </a:p>
      </xdr:txBody>
    </xdr:sp>
    <xdr:clientData/>
  </xdr:twoCellAnchor>
  <xdr:twoCellAnchor>
    <xdr:from>
      <xdr:col>2</xdr:col>
      <xdr:colOff>142421</xdr:colOff>
      <xdr:row>32</xdr:row>
      <xdr:rowOff>8234</xdr:rowOff>
    </xdr:from>
    <xdr:to>
      <xdr:col>2</xdr:col>
      <xdr:colOff>7198213</xdr:colOff>
      <xdr:row>36</xdr:row>
      <xdr:rowOff>154667</xdr:rowOff>
    </xdr:to>
    <xdr:sp macro="" textlink="">
      <xdr:nvSpPr>
        <xdr:cNvPr id="5" name="TextBox 4">
          <a:extLst>
            <a:ext uri="{FF2B5EF4-FFF2-40B4-BE49-F238E27FC236}">
              <a16:creationId xmlns:a16="http://schemas.microsoft.com/office/drawing/2014/main" id="{B8CB81C5-87C0-4334-A7F5-9B78DC090BE7}"/>
            </a:ext>
          </a:extLst>
        </xdr:cNvPr>
        <xdr:cNvSpPr txBox="1"/>
      </xdr:nvSpPr>
      <xdr:spPr>
        <a:xfrm>
          <a:off x="533859" y="9950768"/>
          <a:ext cx="7055792" cy="9554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4.5: Disease</a:t>
          </a:r>
          <a:r>
            <a:rPr lang="en-US" sz="1100" b="1" baseline="0"/>
            <a:t> management during travel, mobility, and movement</a:t>
          </a:r>
          <a:endParaRPr lang="en-US" sz="1100" b="1"/>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4.5.1</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Describe the potential risk of spreading animal diseases posed by movements</a:t>
          </a:r>
          <a:r>
            <a:rPr lang="en-US" sz="1100" baseline="0">
              <a:solidFill>
                <a:schemeClr val="dk1"/>
              </a:solidFill>
              <a:effectLst/>
              <a:latin typeface="+mn-lt"/>
              <a:ea typeface="+mn-ea"/>
              <a:cs typeface="+mn-cs"/>
            </a:rPr>
            <a:t> of people, animals, animal products, by-products and fomites (vehicles, equipment, etc.)</a:t>
          </a:r>
          <a:endParaRPr lang="en-US" sz="1100">
            <a:solidFill>
              <a:schemeClr val="dk1"/>
            </a:solidFill>
            <a:effectLst/>
            <a:latin typeface="+mn-lt"/>
            <a:ea typeface="+mn-ea"/>
            <a:cs typeface="+mn-cs"/>
          </a:endParaRPr>
        </a:p>
        <a:p>
          <a:endParaRPr lang="en-US" sz="1100" b="1"/>
        </a:p>
      </xdr:txBody>
    </xdr:sp>
    <xdr:clientData/>
  </xdr:twoCellAnchor>
  <xdr:twoCellAnchor>
    <xdr:from>
      <xdr:col>2</xdr:col>
      <xdr:colOff>143329</xdr:colOff>
      <xdr:row>4</xdr:row>
      <xdr:rowOff>123376</xdr:rowOff>
    </xdr:from>
    <xdr:to>
      <xdr:col>2</xdr:col>
      <xdr:colOff>7190467</xdr:colOff>
      <xdr:row>6</xdr:row>
      <xdr:rowOff>235450</xdr:rowOff>
    </xdr:to>
    <xdr:sp macro="" textlink="">
      <xdr:nvSpPr>
        <xdr:cNvPr id="9" name="TextBox 8">
          <a:extLst>
            <a:ext uri="{FF2B5EF4-FFF2-40B4-BE49-F238E27FC236}">
              <a16:creationId xmlns:a16="http://schemas.microsoft.com/office/drawing/2014/main" id="{DE44B66D-D88A-48EB-88D4-3283EB220368}"/>
            </a:ext>
          </a:extLst>
        </xdr:cNvPr>
        <xdr:cNvSpPr txBox="1"/>
      </xdr:nvSpPr>
      <xdr:spPr>
        <a:xfrm>
          <a:off x="544664" y="1198952"/>
          <a:ext cx="7047138" cy="14552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4.1:</a:t>
          </a:r>
          <a:r>
            <a:rPr lang="en-US" sz="1100" b="1" baseline="0"/>
            <a:t> Health systems and health service delivery</a:t>
          </a:r>
          <a:endParaRPr lang="en-US" sz="1100" b="1"/>
        </a:p>
        <a:p>
          <a:endParaRPr lang="en-US" sz="1100" b="1">
            <a:solidFill>
              <a:schemeClr val="dk1"/>
            </a:solidFill>
            <a:effectLst/>
            <a:latin typeface="+mn-lt"/>
            <a:ea typeface="+mn-ea"/>
            <a:cs typeface="+mn-cs"/>
          </a:endParaRPr>
        </a:p>
        <a:p>
          <a:pPr lvl="0"/>
          <a:r>
            <a:rPr lang="en-US" sz="1100">
              <a:solidFill>
                <a:schemeClr val="dk1"/>
              </a:solidFill>
              <a:effectLst/>
              <a:latin typeface="+mn-lt"/>
              <a:ea typeface="+mn-ea"/>
              <a:cs typeface="+mn-cs"/>
            </a:rPr>
            <a:t>4.1.1 Describe the role of frontline healthcare providers in prevention and early detection of diseases across the human-animal-environment sectors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4.1.2 Describe the healthcare delivery system (governance, regulatory and finance) for both humans and animals in the local area</a:t>
          </a:r>
        </a:p>
      </xdr:txBody>
    </xdr:sp>
    <xdr:clientData/>
  </xdr:twoCellAnchor>
  <xdr:twoCellAnchor>
    <xdr:from>
      <xdr:col>2</xdr:col>
      <xdr:colOff>149784</xdr:colOff>
      <xdr:row>20</xdr:row>
      <xdr:rowOff>23705</xdr:rowOff>
    </xdr:from>
    <xdr:to>
      <xdr:col>2</xdr:col>
      <xdr:colOff>7184573</xdr:colOff>
      <xdr:row>31</xdr:row>
      <xdr:rowOff>59667</xdr:rowOff>
    </xdr:to>
    <xdr:sp macro="" textlink="">
      <xdr:nvSpPr>
        <xdr:cNvPr id="10" name="TextBox 9">
          <a:extLst>
            <a:ext uri="{FF2B5EF4-FFF2-40B4-BE49-F238E27FC236}">
              <a16:creationId xmlns:a16="http://schemas.microsoft.com/office/drawing/2014/main" id="{B73CC6BE-62B0-4D49-AD9D-F22D4B3C399B}"/>
            </a:ext>
          </a:extLst>
        </xdr:cNvPr>
        <xdr:cNvSpPr txBox="1"/>
      </xdr:nvSpPr>
      <xdr:spPr>
        <a:xfrm>
          <a:off x="541222" y="7539321"/>
          <a:ext cx="7034789" cy="22606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4.4: Infectious diseases</a:t>
          </a:r>
        </a:p>
        <a:p>
          <a:endParaRPr lang="en-US" sz="1100" b="1"/>
        </a:p>
        <a:p>
          <a:pPr lvl="0"/>
          <a:r>
            <a:rPr lang="en-US" sz="1100">
              <a:solidFill>
                <a:schemeClr val="dk1"/>
              </a:solidFill>
              <a:effectLst/>
              <a:latin typeface="+mn-lt"/>
              <a:ea typeface="+mn-ea"/>
              <a:cs typeface="+mn-cs"/>
            </a:rPr>
            <a:t>4.4.1 Describe basic infectious disease transmission and terminology, including zoonotic diseases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4.4.2 Participate in infectious and zoonotic disease surveillance and investigations, including food, waterborne and vector borne diseases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4.4.3 Apply infectious disease prevention and control measures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4.4.4 Describe the principles of Water, Sanitation and Hygiene (WASH)</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4.4.5 Identify communities at risk for food, waterborne and vector borne disease outbreaks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151041</xdr:colOff>
      <xdr:row>5</xdr:row>
      <xdr:rowOff>25976</xdr:rowOff>
    </xdr:from>
    <xdr:to>
      <xdr:col>2</xdr:col>
      <xdr:colOff>7198179</xdr:colOff>
      <xdr:row>7</xdr:row>
      <xdr:rowOff>33537</xdr:rowOff>
    </xdr:to>
    <xdr:sp macro="" textlink="">
      <xdr:nvSpPr>
        <xdr:cNvPr id="2" name="TextBox 1">
          <a:extLst>
            <a:ext uri="{FF2B5EF4-FFF2-40B4-BE49-F238E27FC236}">
              <a16:creationId xmlns:a16="http://schemas.microsoft.com/office/drawing/2014/main" id="{D265A8DF-B1FB-4C40-821E-30E5047D0117}"/>
            </a:ext>
          </a:extLst>
        </xdr:cNvPr>
        <xdr:cNvSpPr txBox="1"/>
      </xdr:nvSpPr>
      <xdr:spPr>
        <a:xfrm>
          <a:off x="540090" y="1293741"/>
          <a:ext cx="7047138" cy="1892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5.1: Necropsies, sample/specimen collection, labeling, storage, and</a:t>
          </a:r>
          <a:r>
            <a:rPr lang="en-US" sz="1100" b="1" baseline="0"/>
            <a:t> transport</a:t>
          </a:r>
          <a:r>
            <a:rPr lang="en-US" sz="1100" b="1"/>
            <a:t> </a:t>
          </a:r>
        </a:p>
        <a:p>
          <a:endParaRPr lang="en-US" sz="1100" b="1"/>
        </a:p>
        <a:p>
          <a:pPr lvl="0"/>
          <a:r>
            <a:rPr lang="en-US" sz="1100">
              <a:solidFill>
                <a:schemeClr val="dk1"/>
              </a:solidFill>
              <a:effectLst/>
              <a:latin typeface="+mn-lt"/>
              <a:ea typeface="+mn-ea"/>
              <a:cs typeface="+mn-cs"/>
            </a:rPr>
            <a:t>5.1.1 Implement universal biosafety and biosecurity precautions in specimen collection, handling, labeling, storage and transportation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5.1.2 Implement IPC SOPs for biosafety and biosecurity including equipment for specimen collection, labelling, handling, storage, transportation and biological waste disposal (e.g., needles)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5.1.3</a:t>
          </a:r>
          <a:r>
            <a:rPr lang="en-US" sz="1100" baseline="0">
              <a:solidFill>
                <a:schemeClr val="dk1"/>
              </a:solidFill>
              <a:effectLst/>
              <a:latin typeface="+mn-lt"/>
              <a:ea typeface="+mn-ea"/>
              <a:cs typeface="+mn-cs"/>
            </a:rPr>
            <a:t> Document the specimen collection, labelling, handling, storage, cold chain, transportation procedures and biological waste disposal (e.g., needles) applied</a:t>
          </a:r>
          <a:endParaRPr lang="en-US" sz="1100">
            <a:solidFill>
              <a:schemeClr val="dk1"/>
            </a:solidFill>
            <a:effectLst/>
            <a:latin typeface="+mn-lt"/>
            <a:ea typeface="+mn-ea"/>
            <a:cs typeface="+mn-cs"/>
          </a:endParaRPr>
        </a:p>
      </xdr:txBody>
    </xdr:sp>
    <xdr:clientData/>
  </xdr:twoCellAnchor>
  <xdr:twoCellAnchor>
    <xdr:from>
      <xdr:col>2</xdr:col>
      <xdr:colOff>149327</xdr:colOff>
      <xdr:row>7</xdr:row>
      <xdr:rowOff>185306</xdr:rowOff>
    </xdr:from>
    <xdr:to>
      <xdr:col>2</xdr:col>
      <xdr:colOff>7193641</xdr:colOff>
      <xdr:row>8</xdr:row>
      <xdr:rowOff>127248</xdr:rowOff>
    </xdr:to>
    <xdr:sp macro="" textlink="">
      <xdr:nvSpPr>
        <xdr:cNvPr id="4" name="TextBox 3">
          <a:extLst>
            <a:ext uri="{FF2B5EF4-FFF2-40B4-BE49-F238E27FC236}">
              <a16:creationId xmlns:a16="http://schemas.microsoft.com/office/drawing/2014/main" id="{313D5460-8A98-4F1B-B573-11C60D98D19B}"/>
            </a:ext>
          </a:extLst>
        </xdr:cNvPr>
        <xdr:cNvSpPr txBox="1"/>
      </xdr:nvSpPr>
      <xdr:spPr>
        <a:xfrm>
          <a:off x="538376" y="3337947"/>
          <a:ext cx="7044314" cy="706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5.2:</a:t>
          </a:r>
          <a:r>
            <a:rPr lang="en-US" sz="1100" b="1" baseline="0"/>
            <a:t> Multisectoral planning and data linking</a:t>
          </a:r>
          <a:endParaRPr lang="en-US" sz="1100" b="1"/>
        </a:p>
        <a:p>
          <a:endParaRPr lang="en-US" sz="1100" b="1"/>
        </a:p>
        <a:p>
          <a:pPr lvl="0"/>
          <a:r>
            <a:rPr lang="en-US" sz="1100">
              <a:solidFill>
                <a:schemeClr val="dk1"/>
              </a:solidFill>
              <a:effectLst/>
              <a:latin typeface="+mn-lt"/>
              <a:ea typeface="+mn-ea"/>
              <a:cs typeface="+mn-cs"/>
            </a:rPr>
            <a:t>5.2.1 Consult with laboratorians and field supervisors before, during and following field investigations </a:t>
          </a:r>
        </a:p>
        <a:p>
          <a:endParaRPr lang="en-US" sz="1100" b="1"/>
        </a:p>
      </xdr:txBody>
    </xdr:sp>
    <xdr:clientData/>
  </xdr:twoCellAnchor>
  <xdr:twoCellAnchor>
    <xdr:from>
      <xdr:col>2</xdr:col>
      <xdr:colOff>167367</xdr:colOff>
      <xdr:row>8</xdr:row>
      <xdr:rowOff>294934</xdr:rowOff>
    </xdr:from>
    <xdr:to>
      <xdr:col>2</xdr:col>
      <xdr:colOff>7213634</xdr:colOff>
      <xdr:row>10</xdr:row>
      <xdr:rowOff>28230</xdr:rowOff>
    </xdr:to>
    <xdr:sp macro="" textlink="">
      <xdr:nvSpPr>
        <xdr:cNvPr id="5" name="TextBox 4">
          <a:extLst>
            <a:ext uri="{FF2B5EF4-FFF2-40B4-BE49-F238E27FC236}">
              <a16:creationId xmlns:a16="http://schemas.microsoft.com/office/drawing/2014/main" id="{5CC5A491-BF53-477A-9353-7A9D1D375A8F}"/>
            </a:ext>
          </a:extLst>
        </xdr:cNvPr>
        <xdr:cNvSpPr txBox="1"/>
      </xdr:nvSpPr>
      <xdr:spPr>
        <a:xfrm>
          <a:off x="556416" y="4212258"/>
          <a:ext cx="7046267" cy="12626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5.3: Multisectoral</a:t>
          </a:r>
          <a:r>
            <a:rPr lang="en-US" sz="1100" b="1" baseline="0"/>
            <a:t> coordination</a:t>
          </a:r>
          <a:endParaRPr lang="en-US" sz="1100" b="1"/>
        </a:p>
        <a:p>
          <a:endParaRPr lang="en-US" sz="1100" b="1"/>
        </a:p>
        <a:p>
          <a:r>
            <a:rPr lang="en-US" sz="1100" b="0"/>
            <a:t>5.3.1 </a:t>
          </a:r>
          <a:r>
            <a:rPr lang="en-US" sz="1100">
              <a:solidFill>
                <a:schemeClr val="dk1"/>
              </a:solidFill>
              <a:effectLst/>
              <a:latin typeface="+mn-lt"/>
              <a:ea typeface="+mn-ea"/>
              <a:cs typeface="+mn-cs"/>
            </a:rPr>
            <a:t>Describe the importance of multisectoral linking of laboratory and field data </a:t>
          </a:r>
        </a:p>
        <a:p>
          <a:endParaRPr lang="en-US" sz="1100" b="0">
            <a:solidFill>
              <a:schemeClr val="dk1"/>
            </a:solidFill>
            <a:effectLst/>
            <a:latin typeface="+mn-lt"/>
            <a:ea typeface="+mn-ea"/>
            <a:cs typeface="+mn-cs"/>
          </a:endParaRPr>
        </a:p>
        <a:p>
          <a:r>
            <a:rPr lang="en-US" sz="1100" b="0">
              <a:solidFill>
                <a:schemeClr val="dk1"/>
              </a:solidFill>
              <a:effectLst/>
              <a:latin typeface="+mn-lt"/>
              <a:ea typeface="+mn-ea"/>
              <a:cs typeface="+mn-cs"/>
            </a:rPr>
            <a:t>5.3.2 </a:t>
          </a:r>
          <a:r>
            <a:rPr lang="en-US" sz="1100">
              <a:solidFill>
                <a:schemeClr val="dk1"/>
              </a:solidFill>
              <a:effectLst/>
              <a:latin typeface="+mn-lt"/>
              <a:ea typeface="+mn-ea"/>
              <a:cs typeface="+mn-cs"/>
            </a:rPr>
            <a:t>Identify contact persons at central and local level laboratories for supplies, specimen collection, labeling, handling, submission and testing </a:t>
          </a:r>
          <a:endParaRPr lang="en-US" sz="1100" b="0"/>
        </a:p>
      </xdr:txBody>
    </xdr:sp>
    <xdr:clientData/>
  </xdr:twoCellAnchor>
  <xdr:twoCellAnchor>
    <xdr:from>
      <xdr:col>2</xdr:col>
      <xdr:colOff>184686</xdr:colOff>
      <xdr:row>10</xdr:row>
      <xdr:rowOff>190840</xdr:rowOff>
    </xdr:from>
    <xdr:to>
      <xdr:col>2</xdr:col>
      <xdr:colOff>7224243</xdr:colOff>
      <xdr:row>11</xdr:row>
      <xdr:rowOff>398503</xdr:rowOff>
    </xdr:to>
    <xdr:sp macro="" textlink="">
      <xdr:nvSpPr>
        <xdr:cNvPr id="6" name="TextBox 5">
          <a:extLst>
            <a:ext uri="{FF2B5EF4-FFF2-40B4-BE49-F238E27FC236}">
              <a16:creationId xmlns:a16="http://schemas.microsoft.com/office/drawing/2014/main" id="{DA72A6AA-9605-43DE-A24F-179B3C9398BB}"/>
            </a:ext>
          </a:extLst>
        </xdr:cNvPr>
        <xdr:cNvSpPr txBox="1"/>
      </xdr:nvSpPr>
      <xdr:spPr>
        <a:xfrm>
          <a:off x="573735" y="5637530"/>
          <a:ext cx="7039557" cy="1200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5.4: Analysis,</a:t>
          </a:r>
          <a:r>
            <a:rPr lang="en-US" sz="1100" b="1" baseline="0"/>
            <a:t> interpretation, and reporting of laboratory data</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5.4.1 Collaborate with laboratory experts to describe the context of data being analyzed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5.4.2 Interpret results</a:t>
          </a:r>
          <a:r>
            <a:rPr lang="en-US" sz="1100" baseline="0">
              <a:solidFill>
                <a:schemeClr val="dk1"/>
              </a:solidFill>
              <a:effectLst/>
              <a:latin typeface="+mn-lt"/>
              <a:ea typeface="+mn-ea"/>
              <a:cs typeface="+mn-cs"/>
            </a:rPr>
            <a:t> and make recommendations to improve data quality, including timeliness and completeness</a:t>
          </a: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151041</xdr:colOff>
      <xdr:row>5</xdr:row>
      <xdr:rowOff>66225</xdr:rowOff>
    </xdr:from>
    <xdr:to>
      <xdr:col>2</xdr:col>
      <xdr:colOff>7198179</xdr:colOff>
      <xdr:row>11</xdr:row>
      <xdr:rowOff>248949</xdr:rowOff>
    </xdr:to>
    <xdr:sp macro="" textlink="">
      <xdr:nvSpPr>
        <xdr:cNvPr id="2" name="TextBox 1">
          <a:extLst>
            <a:ext uri="{FF2B5EF4-FFF2-40B4-BE49-F238E27FC236}">
              <a16:creationId xmlns:a16="http://schemas.microsoft.com/office/drawing/2014/main" id="{AA8C9BE5-401D-43C1-9A0F-CA808D4CFFC0}"/>
            </a:ext>
          </a:extLst>
        </xdr:cNvPr>
        <xdr:cNvSpPr txBox="1"/>
      </xdr:nvSpPr>
      <xdr:spPr>
        <a:xfrm>
          <a:off x="546113" y="1338030"/>
          <a:ext cx="7047138" cy="4138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6.1: IPC,</a:t>
          </a:r>
          <a:r>
            <a:rPr lang="en-US" sz="1100" b="1" baseline="0"/>
            <a:t> biosecurity and biosafety preparedness</a:t>
          </a:r>
          <a:endParaRPr lang="en-US" sz="1100" b="1"/>
        </a:p>
        <a:p>
          <a:endParaRPr lang="en-US" sz="1100" b="1"/>
        </a:p>
        <a:p>
          <a:pPr lvl="0"/>
          <a:r>
            <a:rPr lang="en-US" sz="1100">
              <a:solidFill>
                <a:schemeClr val="dk1"/>
              </a:solidFill>
              <a:effectLst/>
              <a:latin typeface="+mn-lt"/>
              <a:ea typeface="+mn-ea"/>
              <a:cs typeface="+mn-cs"/>
            </a:rPr>
            <a:t>6.1.1 Describe mechanisms for disease transmission and the Disease Interventions Model</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6.1.2 Describe basic definitions of IPC, biosafety and biosecurity and provide examples for both laboratory and field procedures</a:t>
          </a: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6.1.3 Define the principles of biosafety</a:t>
          </a:r>
        </a:p>
        <a:p>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6.1.4 Describe the principles of biosecurity</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6.1.5 Describe the tools and methods applied for biosecurity and biosafety</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6.1.6 Describe best practices for: donning and doffing personal protective equipment (PPE); safe collection, handling and submission of field samples and specimens; movement between disease zones and waste management</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6.1.7 Describe the roles and responsibilities of epidemiology field team members for suspect and positive premises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6.1.8</a:t>
          </a:r>
          <a:r>
            <a:rPr lang="en-US" sz="1100" baseline="0">
              <a:solidFill>
                <a:schemeClr val="dk1"/>
              </a:solidFill>
              <a:effectLst/>
              <a:latin typeface="+mn-lt"/>
              <a:ea typeface="+mn-ea"/>
              <a:cs typeface="+mn-cs"/>
            </a:rPr>
            <a:t> Explain why it is critical to separate so-called clean and dirty field teams</a:t>
          </a:r>
          <a:endParaRPr lang="en-US" sz="1100">
            <a:solidFill>
              <a:schemeClr val="dk1"/>
            </a:solidFill>
            <a:effectLst/>
            <a:latin typeface="+mn-lt"/>
            <a:ea typeface="+mn-ea"/>
            <a:cs typeface="+mn-cs"/>
          </a:endParaRP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6.1.9 Describe how to establish and maintain three containment zones</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Green-Yellow-Red zones)  </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6.1.10</a:t>
          </a:r>
          <a:r>
            <a:rPr lang="en-US" sz="1100" baseline="0">
              <a:solidFill>
                <a:schemeClr val="dk1"/>
              </a:solidFill>
              <a:effectLst/>
              <a:latin typeface="+mn-lt"/>
              <a:ea typeface="+mn-ea"/>
              <a:cs typeface="+mn-cs"/>
            </a:rPr>
            <a:t> Apply IPC, biosafety and biosecurity procedures in classroom and field traning exercises </a:t>
          </a:r>
          <a:endParaRPr lang="en-US" sz="1100">
            <a:solidFill>
              <a:schemeClr val="dk1"/>
            </a:solidFill>
            <a:effectLst/>
            <a:latin typeface="+mn-lt"/>
            <a:ea typeface="+mn-ea"/>
            <a:cs typeface="+mn-cs"/>
          </a:endParaRPr>
        </a:p>
      </xdr:txBody>
    </xdr:sp>
    <xdr:clientData/>
  </xdr:twoCellAnchor>
  <xdr:twoCellAnchor>
    <xdr:from>
      <xdr:col>2</xdr:col>
      <xdr:colOff>143433</xdr:colOff>
      <xdr:row>11</xdr:row>
      <xdr:rowOff>410089</xdr:rowOff>
    </xdr:from>
    <xdr:to>
      <xdr:col>2</xdr:col>
      <xdr:colOff>7184572</xdr:colOff>
      <xdr:row>13</xdr:row>
      <xdr:rowOff>449190</xdr:rowOff>
    </xdr:to>
    <xdr:sp macro="" textlink="">
      <xdr:nvSpPr>
        <xdr:cNvPr id="4" name="TextBox 3">
          <a:extLst>
            <a:ext uri="{FF2B5EF4-FFF2-40B4-BE49-F238E27FC236}">
              <a16:creationId xmlns:a16="http://schemas.microsoft.com/office/drawing/2014/main" id="{58E1CE4A-B174-4C07-BC20-21C3C42CC164}"/>
            </a:ext>
          </a:extLst>
        </xdr:cNvPr>
        <xdr:cNvSpPr txBox="1"/>
      </xdr:nvSpPr>
      <xdr:spPr>
        <a:xfrm>
          <a:off x="538505" y="5638015"/>
          <a:ext cx="7041139" cy="13812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6.2: IPC, biosecurity</a:t>
          </a:r>
          <a:r>
            <a:rPr lang="en-US" sz="1100" b="1" baseline="0"/>
            <a:t> and biosafety implementation procedures</a:t>
          </a:r>
          <a:endParaRPr lang="en-US" sz="1100" b="1"/>
        </a:p>
        <a:p>
          <a:endParaRPr lang="en-US" sz="1100" b="1"/>
        </a:p>
        <a:p>
          <a:pPr lvl="0"/>
          <a:r>
            <a:rPr lang="en-US" sz="1100">
              <a:solidFill>
                <a:schemeClr val="dk1"/>
              </a:solidFill>
              <a:effectLst/>
              <a:latin typeface="+mn-lt"/>
              <a:ea typeface="+mn-ea"/>
              <a:cs typeface="+mn-cs"/>
            </a:rPr>
            <a:t>6.2.1 Maintain a PPE inventory</a:t>
          </a: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6.2.2 Perform donning and doffing </a:t>
          </a:r>
        </a:p>
        <a:p>
          <a:endParaRPr lang="en-US" sz="1100" b="1"/>
        </a:p>
        <a:p>
          <a:r>
            <a:rPr lang="en-US" sz="1100" b="0"/>
            <a:t>6.2.3 Apply a health and safety</a:t>
          </a:r>
          <a:r>
            <a:rPr lang="en-US" sz="1100" b="0" baseline="0"/>
            <a:t> SOP</a:t>
          </a:r>
          <a:endParaRPr lang="en-US" sz="1100" b="0"/>
        </a:p>
      </xdr:txBody>
    </xdr:sp>
    <xdr:clientData/>
  </xdr:twoCellAnchor>
  <xdr:twoCellAnchor>
    <xdr:from>
      <xdr:col>2</xdr:col>
      <xdr:colOff>159204</xdr:colOff>
      <xdr:row>13</xdr:row>
      <xdr:rowOff>618221</xdr:rowOff>
    </xdr:from>
    <xdr:to>
      <xdr:col>2</xdr:col>
      <xdr:colOff>7202296</xdr:colOff>
      <xdr:row>15</xdr:row>
      <xdr:rowOff>270594</xdr:rowOff>
    </xdr:to>
    <xdr:sp macro="" textlink="">
      <xdr:nvSpPr>
        <xdr:cNvPr id="5" name="TextBox 4">
          <a:extLst>
            <a:ext uri="{FF2B5EF4-FFF2-40B4-BE49-F238E27FC236}">
              <a16:creationId xmlns:a16="http://schemas.microsoft.com/office/drawing/2014/main" id="{010BA519-4459-4BCB-93F9-D59EEC678D75}"/>
            </a:ext>
          </a:extLst>
        </xdr:cNvPr>
        <xdr:cNvSpPr txBox="1"/>
      </xdr:nvSpPr>
      <xdr:spPr>
        <a:xfrm>
          <a:off x="554276" y="7188306"/>
          <a:ext cx="7043092" cy="10865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6.3: Continuous Quality</a:t>
          </a:r>
          <a:r>
            <a:rPr lang="en-US" sz="1100" b="1" baseline="0"/>
            <a:t> Improvement (CQI) evaluation</a:t>
          </a:r>
          <a:endParaRPr lang="en-US" sz="1100" b="1"/>
        </a:p>
        <a:p>
          <a:endParaRPr lang="en-US" sz="1100" b="1"/>
        </a:p>
        <a:p>
          <a:pPr lvl="0"/>
          <a:r>
            <a:rPr lang="en-US" sz="1100">
              <a:solidFill>
                <a:schemeClr val="dk1"/>
              </a:solidFill>
              <a:effectLst/>
              <a:latin typeface="+mn-lt"/>
              <a:ea typeface="+mn-ea"/>
              <a:cs typeface="+mn-cs"/>
            </a:rPr>
            <a:t>6.3.1 Describe IPC, biosafety and biosecurity procedures</a:t>
          </a: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6.3.3 Provide complete IPC, biosafety and biosecurity </a:t>
          </a:r>
          <a:endParaRPr lang="en-US" sz="11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151041</xdr:colOff>
      <xdr:row>4</xdr:row>
      <xdr:rowOff>73483</xdr:rowOff>
    </xdr:from>
    <xdr:to>
      <xdr:col>2</xdr:col>
      <xdr:colOff>7198179</xdr:colOff>
      <xdr:row>7</xdr:row>
      <xdr:rowOff>217713</xdr:rowOff>
    </xdr:to>
    <xdr:sp macro="" textlink="">
      <xdr:nvSpPr>
        <xdr:cNvPr id="2" name="TextBox 1">
          <a:extLst>
            <a:ext uri="{FF2B5EF4-FFF2-40B4-BE49-F238E27FC236}">
              <a16:creationId xmlns:a16="http://schemas.microsoft.com/office/drawing/2014/main" id="{ED62BBB7-F679-4824-92BF-C529B039BC8D}"/>
            </a:ext>
          </a:extLst>
        </xdr:cNvPr>
        <xdr:cNvSpPr txBox="1"/>
      </xdr:nvSpPr>
      <xdr:spPr>
        <a:xfrm>
          <a:off x="552452" y="1148447"/>
          <a:ext cx="7047138" cy="1348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7.1: Detection of health threats</a:t>
          </a:r>
        </a:p>
        <a:p>
          <a:endParaRPr lang="en-US" sz="1100" b="1"/>
        </a:p>
        <a:p>
          <a:pPr lvl="0"/>
          <a:r>
            <a:rPr lang="en-US" sz="1100">
              <a:solidFill>
                <a:schemeClr val="dk1"/>
              </a:solidFill>
              <a:effectLst/>
              <a:latin typeface="+mn-lt"/>
              <a:ea typeface="+mn-ea"/>
              <a:cs typeface="+mn-cs"/>
            </a:rPr>
            <a:t>7.1.1. List priority emerging infectious diseases relevant to the area and their likely modes of transmission</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7.1.2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List sources of information about potential health threats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7.1.3 Describe the</a:t>
          </a:r>
          <a:r>
            <a:rPr lang="en-US" sz="1100" baseline="0">
              <a:solidFill>
                <a:schemeClr val="dk1"/>
              </a:solidFill>
              <a:effectLst/>
              <a:latin typeface="+mn-lt"/>
              <a:ea typeface="+mn-ea"/>
              <a:cs typeface="+mn-cs"/>
            </a:rPr>
            <a:t> microbiological and epidemiological characteristics of pathogens of epidemic potential</a:t>
          </a:r>
          <a:endParaRPr lang="en-US" sz="1100">
            <a:solidFill>
              <a:schemeClr val="dk1"/>
            </a:solidFill>
            <a:effectLst/>
            <a:latin typeface="+mn-lt"/>
            <a:ea typeface="+mn-ea"/>
            <a:cs typeface="+mn-cs"/>
          </a:endParaRPr>
        </a:p>
      </xdr:txBody>
    </xdr:sp>
    <xdr:clientData/>
  </xdr:twoCellAnchor>
  <xdr:twoCellAnchor>
    <xdr:from>
      <xdr:col>2</xdr:col>
      <xdr:colOff>143433</xdr:colOff>
      <xdr:row>12</xdr:row>
      <xdr:rowOff>278735</xdr:rowOff>
    </xdr:from>
    <xdr:to>
      <xdr:col>2</xdr:col>
      <xdr:colOff>7184572</xdr:colOff>
      <xdr:row>15</xdr:row>
      <xdr:rowOff>243656</xdr:rowOff>
    </xdr:to>
    <xdr:sp macro="" textlink="">
      <xdr:nvSpPr>
        <xdr:cNvPr id="3" name="TextBox 2">
          <a:extLst>
            <a:ext uri="{FF2B5EF4-FFF2-40B4-BE49-F238E27FC236}">
              <a16:creationId xmlns:a16="http://schemas.microsoft.com/office/drawing/2014/main" id="{317BA618-DDC2-4521-8CF3-7FB35F6F42D7}"/>
            </a:ext>
          </a:extLst>
        </xdr:cNvPr>
        <xdr:cNvSpPr txBox="1"/>
      </xdr:nvSpPr>
      <xdr:spPr>
        <a:xfrm>
          <a:off x="536617" y="5689157"/>
          <a:ext cx="7041139" cy="17259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7.5:</a:t>
          </a:r>
          <a:r>
            <a:rPr lang="en-US" sz="1100" b="1" baseline="0"/>
            <a:t> Cross-sectoral coordination and incident management</a:t>
          </a:r>
          <a:endParaRPr lang="en-US" sz="1100" b="1"/>
        </a:p>
        <a:p>
          <a:endParaRPr lang="en-US" sz="1100" b="1"/>
        </a:p>
        <a:p>
          <a:pPr lvl="0"/>
          <a:r>
            <a:rPr lang="en-US" sz="1100">
              <a:solidFill>
                <a:schemeClr val="dk1"/>
              </a:solidFill>
              <a:effectLst/>
              <a:latin typeface="+mn-lt"/>
              <a:ea typeface="+mn-ea"/>
              <a:cs typeface="+mn-cs"/>
            </a:rPr>
            <a:t>7.5.1 List the relevant partners and their roles and responsibilities in an emergency response</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7.5.2 Describe incident command structures</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7.5.3 Communicate with response partners about key roles, responsibilities and risks</a:t>
          </a: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7.5.4 Maintain ongoing relationships with relevant partners </a:t>
          </a:r>
          <a:endParaRPr lang="en-US" sz="1100" b="1"/>
        </a:p>
      </xdr:txBody>
    </xdr:sp>
    <xdr:clientData/>
  </xdr:twoCellAnchor>
  <xdr:twoCellAnchor>
    <xdr:from>
      <xdr:col>2</xdr:col>
      <xdr:colOff>143363</xdr:colOff>
      <xdr:row>15</xdr:row>
      <xdr:rowOff>350080</xdr:rowOff>
    </xdr:from>
    <xdr:to>
      <xdr:col>2</xdr:col>
      <xdr:colOff>7202365</xdr:colOff>
      <xdr:row>16</xdr:row>
      <xdr:rowOff>503934</xdr:rowOff>
    </xdr:to>
    <xdr:sp macro="" textlink="">
      <xdr:nvSpPr>
        <xdr:cNvPr id="4" name="TextBox 3">
          <a:extLst>
            <a:ext uri="{FF2B5EF4-FFF2-40B4-BE49-F238E27FC236}">
              <a16:creationId xmlns:a16="http://schemas.microsoft.com/office/drawing/2014/main" id="{D69C98BB-26F9-4A73-ADD4-C291C7324A85}"/>
            </a:ext>
          </a:extLst>
        </xdr:cNvPr>
        <xdr:cNvSpPr txBox="1"/>
      </xdr:nvSpPr>
      <xdr:spPr>
        <a:xfrm>
          <a:off x="536547" y="7521520"/>
          <a:ext cx="7059002" cy="857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7.6: Emergency</a:t>
          </a:r>
          <a:r>
            <a:rPr lang="en-US" sz="1100" b="1" baseline="0"/>
            <a:t> risk communication</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7.6.1 Describe social mobilization, health promotion and other population engagement mechanisms that could be leveraged for emergency risk communication strategy </a:t>
          </a:r>
        </a:p>
      </xdr:txBody>
    </xdr:sp>
    <xdr:clientData/>
  </xdr:twoCellAnchor>
  <xdr:twoCellAnchor>
    <xdr:from>
      <xdr:col>2</xdr:col>
      <xdr:colOff>139804</xdr:colOff>
      <xdr:row>7</xdr:row>
      <xdr:rowOff>274875</xdr:rowOff>
    </xdr:from>
    <xdr:to>
      <xdr:col>2</xdr:col>
      <xdr:colOff>7190468</xdr:colOff>
      <xdr:row>8</xdr:row>
      <xdr:rowOff>326730</xdr:rowOff>
    </xdr:to>
    <xdr:sp macro="" textlink="">
      <xdr:nvSpPr>
        <xdr:cNvPr id="5" name="TextBox 4">
          <a:extLst>
            <a:ext uri="{FF2B5EF4-FFF2-40B4-BE49-F238E27FC236}">
              <a16:creationId xmlns:a16="http://schemas.microsoft.com/office/drawing/2014/main" id="{382D2971-A60A-4361-BDE5-4117644808FD}"/>
            </a:ext>
          </a:extLst>
        </xdr:cNvPr>
        <xdr:cNvSpPr txBox="1"/>
      </xdr:nvSpPr>
      <xdr:spPr>
        <a:xfrm>
          <a:off x="532988" y="2550908"/>
          <a:ext cx="7050664" cy="7496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7.2: Risk assessments </a:t>
          </a:r>
        </a:p>
        <a:p>
          <a:endParaRPr lang="en-US" sz="1100" b="1"/>
        </a:p>
        <a:p>
          <a:r>
            <a:rPr lang="en-US" sz="1100" b="0"/>
            <a:t>7.2.1 Describe how to identify hazards</a:t>
          </a:r>
        </a:p>
      </xdr:txBody>
    </xdr:sp>
    <xdr:clientData/>
  </xdr:twoCellAnchor>
  <xdr:twoCellAnchor>
    <xdr:from>
      <xdr:col>2</xdr:col>
      <xdr:colOff>126197</xdr:colOff>
      <xdr:row>8</xdr:row>
      <xdr:rowOff>410146</xdr:rowOff>
    </xdr:from>
    <xdr:to>
      <xdr:col>2</xdr:col>
      <xdr:colOff>7170511</xdr:colOff>
      <xdr:row>9</xdr:row>
      <xdr:rowOff>392478</xdr:rowOff>
    </xdr:to>
    <xdr:sp macro="" textlink="">
      <xdr:nvSpPr>
        <xdr:cNvPr id="6" name="TextBox 5">
          <a:extLst>
            <a:ext uri="{FF2B5EF4-FFF2-40B4-BE49-F238E27FC236}">
              <a16:creationId xmlns:a16="http://schemas.microsoft.com/office/drawing/2014/main" id="{0B3EE0CB-BF27-44E6-A422-79002361243F}"/>
            </a:ext>
          </a:extLst>
        </xdr:cNvPr>
        <xdr:cNvSpPr txBox="1"/>
      </xdr:nvSpPr>
      <xdr:spPr>
        <a:xfrm>
          <a:off x="519381" y="3383940"/>
          <a:ext cx="7044314" cy="696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7.3: Policy development, adaptation, and implementation</a:t>
          </a:r>
        </a:p>
        <a:p>
          <a:endParaRPr lang="en-US" sz="1100" b="1"/>
        </a:p>
        <a:p>
          <a:r>
            <a:rPr lang="en-US" sz="1100" b="0"/>
            <a:t>None</a:t>
          </a:r>
        </a:p>
      </xdr:txBody>
    </xdr:sp>
    <xdr:clientData/>
  </xdr:twoCellAnchor>
  <xdr:twoCellAnchor>
    <xdr:from>
      <xdr:col>2</xdr:col>
      <xdr:colOff>122115</xdr:colOff>
      <xdr:row>9</xdr:row>
      <xdr:rowOff>499389</xdr:rowOff>
    </xdr:from>
    <xdr:to>
      <xdr:col>2</xdr:col>
      <xdr:colOff>7160079</xdr:colOff>
      <xdr:row>12</xdr:row>
      <xdr:rowOff>171665</xdr:rowOff>
    </xdr:to>
    <xdr:sp macro="" textlink="">
      <xdr:nvSpPr>
        <xdr:cNvPr id="7" name="TextBox 6">
          <a:extLst>
            <a:ext uri="{FF2B5EF4-FFF2-40B4-BE49-F238E27FC236}">
              <a16:creationId xmlns:a16="http://schemas.microsoft.com/office/drawing/2014/main" id="{5651D19C-201E-4577-8861-2FFCF430AF5B}"/>
            </a:ext>
          </a:extLst>
        </xdr:cNvPr>
        <xdr:cNvSpPr txBox="1"/>
      </xdr:nvSpPr>
      <xdr:spPr>
        <a:xfrm>
          <a:off x="515299" y="4187558"/>
          <a:ext cx="7037964" cy="1394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7.4: Preparedness and response planning</a:t>
          </a:r>
        </a:p>
        <a:p>
          <a:endParaRPr lang="en-US" sz="1100" b="1"/>
        </a:p>
        <a:p>
          <a:pPr lvl="0"/>
          <a:r>
            <a:rPr lang="en-US" sz="1100">
              <a:solidFill>
                <a:schemeClr val="dk1"/>
              </a:solidFill>
              <a:effectLst/>
              <a:latin typeface="+mn-lt"/>
              <a:ea typeface="+mn-ea"/>
              <a:cs typeface="+mn-cs"/>
            </a:rPr>
            <a:t>7.4.1 Describe the principles of disease prevention, control and treatment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7.4.2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Describe the basic principles of responder safety and health, including PPE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7.4.3 Describe the roles and responsibilities of rapid response teams and participate in a response activity  </a:t>
          </a:r>
        </a:p>
        <a:p>
          <a:pPr lvl="0"/>
          <a:endParaRPr lang="en-US" sz="1100">
            <a:solidFill>
              <a:schemeClr val="dk1"/>
            </a:solidFill>
            <a:effectLst/>
            <a:latin typeface="+mn-lt"/>
            <a:ea typeface="+mn-ea"/>
            <a:cs typeface="+mn-cs"/>
          </a:endParaRPr>
        </a:p>
        <a:p>
          <a:endParaRPr lang="en-US" sz="1100" b="1"/>
        </a:p>
      </xdr:txBody>
    </xdr:sp>
    <xdr:clientData/>
  </xdr:twoCellAnchor>
  <xdr:twoCellAnchor>
    <xdr:from>
      <xdr:col>2</xdr:col>
      <xdr:colOff>134098</xdr:colOff>
      <xdr:row>16</xdr:row>
      <xdr:rowOff>587834</xdr:rowOff>
    </xdr:from>
    <xdr:to>
      <xdr:col>2</xdr:col>
      <xdr:colOff>7184762</xdr:colOff>
      <xdr:row>17</xdr:row>
      <xdr:rowOff>1063248</xdr:rowOff>
    </xdr:to>
    <xdr:sp macro="" textlink="">
      <xdr:nvSpPr>
        <xdr:cNvPr id="8" name="TextBox 7">
          <a:extLst>
            <a:ext uri="{FF2B5EF4-FFF2-40B4-BE49-F238E27FC236}">
              <a16:creationId xmlns:a16="http://schemas.microsoft.com/office/drawing/2014/main" id="{CABFCC70-6DBB-4F51-9CDF-FFAA3B0D622E}"/>
            </a:ext>
          </a:extLst>
        </xdr:cNvPr>
        <xdr:cNvSpPr txBox="1"/>
      </xdr:nvSpPr>
      <xdr:spPr>
        <a:xfrm>
          <a:off x="527282" y="8462572"/>
          <a:ext cx="7050664" cy="14113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7.7: Mass gatherings</a:t>
          </a:r>
        </a:p>
        <a:p>
          <a:endParaRPr lang="en-US" sz="1100" b="1"/>
        </a:p>
        <a:p>
          <a:pPr lvl="0"/>
          <a:r>
            <a:rPr lang="en-US" sz="1100">
              <a:solidFill>
                <a:schemeClr val="dk1"/>
              </a:solidFill>
              <a:effectLst/>
              <a:latin typeface="+mn-lt"/>
              <a:ea typeface="+mn-ea"/>
              <a:cs typeface="+mn-cs"/>
            </a:rPr>
            <a:t>7.7.1 Define mass gathering</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7.7.2 List different types of planned and spontaneous mass gatherings that involve people and /or animals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7.7.3 Participate in monitoring and surveillance of mass gatherings involving people and/or animals </a:t>
          </a:r>
          <a:endParaRPr lang="en-US" sz="1100" b="0"/>
        </a:p>
      </xdr:txBody>
    </xdr:sp>
    <xdr:clientData/>
  </xdr:twoCellAnchor>
  <xdr:twoCellAnchor>
    <xdr:from>
      <xdr:col>2</xdr:col>
      <xdr:colOff>123022</xdr:colOff>
      <xdr:row>19</xdr:row>
      <xdr:rowOff>298661</xdr:rowOff>
    </xdr:from>
    <xdr:to>
      <xdr:col>2</xdr:col>
      <xdr:colOff>7170511</xdr:colOff>
      <xdr:row>21</xdr:row>
      <xdr:rowOff>45579</xdr:rowOff>
    </xdr:to>
    <xdr:sp macro="" textlink="">
      <xdr:nvSpPr>
        <xdr:cNvPr id="9" name="TextBox 8">
          <a:extLst>
            <a:ext uri="{FF2B5EF4-FFF2-40B4-BE49-F238E27FC236}">
              <a16:creationId xmlns:a16="http://schemas.microsoft.com/office/drawing/2014/main" id="{BCCEBEB5-65BF-409C-81E5-F8A36D8D3BF6}"/>
            </a:ext>
          </a:extLst>
        </xdr:cNvPr>
        <xdr:cNvSpPr txBox="1"/>
      </xdr:nvSpPr>
      <xdr:spPr>
        <a:xfrm>
          <a:off x="516206" y="10809388"/>
          <a:ext cx="7047489" cy="6883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7.9:</a:t>
          </a:r>
          <a:r>
            <a:rPr lang="en-US" sz="1100" b="1" baseline="0"/>
            <a:t> </a:t>
          </a:r>
          <a:r>
            <a:rPr lang="en-US" sz="1100" b="1">
              <a:solidFill>
                <a:schemeClr val="dk1"/>
              </a:solidFill>
              <a:effectLst/>
              <a:latin typeface="+mn-lt"/>
              <a:ea typeface="+mn-ea"/>
              <a:cs typeface="+mn-cs"/>
            </a:rPr>
            <a:t>Chemical, biological, radiological and nuclear (CBRN) emergencies</a:t>
          </a:r>
          <a:endParaRPr lang="en-US" sz="1100" b="1"/>
        </a:p>
        <a:p>
          <a:endParaRPr lang="en-US" sz="1100" b="0"/>
        </a:p>
        <a:p>
          <a:r>
            <a:rPr lang="en-US" sz="1100" b="0"/>
            <a:t>7.9.1</a:t>
          </a:r>
          <a:r>
            <a:rPr lang="en-US" sz="1100" b="0" baseline="0"/>
            <a:t> Describe basic characteristics of critical CBRN threats </a:t>
          </a:r>
          <a:endParaRPr lang="en-US" sz="1100" b="1"/>
        </a:p>
      </xdr:txBody>
    </xdr:sp>
    <xdr:clientData/>
  </xdr:twoCellAnchor>
  <xdr:twoCellAnchor>
    <xdr:from>
      <xdr:col>2</xdr:col>
      <xdr:colOff>126197</xdr:colOff>
      <xdr:row>18</xdr:row>
      <xdr:rowOff>68227</xdr:rowOff>
    </xdr:from>
    <xdr:to>
      <xdr:col>2</xdr:col>
      <xdr:colOff>7170511</xdr:colOff>
      <xdr:row>19</xdr:row>
      <xdr:rowOff>169562</xdr:rowOff>
    </xdr:to>
    <xdr:sp macro="" textlink="">
      <xdr:nvSpPr>
        <xdr:cNvPr id="10" name="TextBox 9">
          <a:extLst>
            <a:ext uri="{FF2B5EF4-FFF2-40B4-BE49-F238E27FC236}">
              <a16:creationId xmlns:a16="http://schemas.microsoft.com/office/drawing/2014/main" id="{96C0FBA9-DE5D-41C2-A20B-8EED90F7B362}"/>
            </a:ext>
          </a:extLst>
        </xdr:cNvPr>
        <xdr:cNvSpPr txBox="1"/>
      </xdr:nvSpPr>
      <xdr:spPr>
        <a:xfrm>
          <a:off x="519381" y="9991948"/>
          <a:ext cx="7044314" cy="6883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7.8: Humanitarian crises/natural</a:t>
          </a:r>
          <a:r>
            <a:rPr lang="en-US" sz="1100" b="1" baseline="0"/>
            <a:t> disasters</a:t>
          </a:r>
          <a:endParaRPr lang="en-US" sz="1100" b="1"/>
        </a:p>
        <a:p>
          <a:endParaRPr lang="en-US" sz="1100" b="1"/>
        </a:p>
        <a:p>
          <a:r>
            <a:rPr lang="en-US" sz="1100">
              <a:solidFill>
                <a:schemeClr val="dk1"/>
              </a:solidFill>
              <a:effectLst/>
              <a:latin typeface="+mn-lt"/>
              <a:ea typeface="+mn-ea"/>
              <a:cs typeface="+mn-cs"/>
            </a:rPr>
            <a:t>7.8.1 Participate in the planning and response to humanitarian crises and natural disasters </a:t>
          </a:r>
          <a:endParaRPr lang="en-US" sz="1100" b="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151041</xdr:colOff>
      <xdr:row>4</xdr:row>
      <xdr:rowOff>178259</xdr:rowOff>
    </xdr:from>
    <xdr:to>
      <xdr:col>2</xdr:col>
      <xdr:colOff>7198179</xdr:colOff>
      <xdr:row>6</xdr:row>
      <xdr:rowOff>381000</xdr:rowOff>
    </xdr:to>
    <xdr:sp macro="" textlink="">
      <xdr:nvSpPr>
        <xdr:cNvPr id="2" name="TextBox 1">
          <a:extLst>
            <a:ext uri="{FF2B5EF4-FFF2-40B4-BE49-F238E27FC236}">
              <a16:creationId xmlns:a16="http://schemas.microsoft.com/office/drawing/2014/main" id="{2F6433DC-F595-4F0E-AB34-BA689FD23C16}"/>
            </a:ext>
          </a:extLst>
        </xdr:cNvPr>
        <xdr:cNvSpPr txBox="1"/>
      </xdr:nvSpPr>
      <xdr:spPr>
        <a:xfrm>
          <a:off x="539979" y="1249822"/>
          <a:ext cx="7047138" cy="10838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8.1:</a:t>
          </a:r>
          <a:r>
            <a:rPr lang="en-US" sz="1100" b="1" baseline="0"/>
            <a:t> Types of epidemiological studies</a:t>
          </a:r>
          <a:endParaRPr lang="en-US" sz="1100" b="1"/>
        </a:p>
        <a:p>
          <a:endParaRPr lang="en-US" sz="1100" b="1"/>
        </a:p>
        <a:p>
          <a:pPr lvl="0"/>
          <a:r>
            <a:rPr lang="en-US" sz="1100">
              <a:solidFill>
                <a:schemeClr val="dk1"/>
              </a:solidFill>
              <a:effectLst/>
              <a:latin typeface="+mn-lt"/>
              <a:ea typeface="+mn-ea"/>
              <a:cs typeface="+mn-cs"/>
            </a:rPr>
            <a:t>8.1.1 Describe the types of data (primary/secondary; quantitative/ qualitative)</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8.1.2</a:t>
          </a:r>
          <a:r>
            <a:rPr lang="en-US" sz="1100" baseline="0">
              <a:solidFill>
                <a:schemeClr val="dk1"/>
              </a:solidFill>
              <a:effectLst/>
              <a:latin typeface="+mn-lt"/>
              <a:ea typeface="+mn-ea"/>
              <a:cs typeface="+mn-cs"/>
            </a:rPr>
            <a:t> Describe a descriptive field study for zoonotic or animal-specific disease events</a:t>
          </a:r>
          <a:endParaRPr lang="en-US" sz="1100">
            <a:solidFill>
              <a:schemeClr val="dk1"/>
            </a:solidFill>
            <a:effectLst/>
            <a:latin typeface="+mn-lt"/>
            <a:ea typeface="+mn-ea"/>
            <a:cs typeface="+mn-cs"/>
          </a:endParaRPr>
        </a:p>
      </xdr:txBody>
    </xdr:sp>
    <xdr:clientData/>
  </xdr:twoCellAnchor>
  <xdr:twoCellAnchor>
    <xdr:from>
      <xdr:col>2</xdr:col>
      <xdr:colOff>153865</xdr:colOff>
      <xdr:row>8</xdr:row>
      <xdr:rowOff>713010</xdr:rowOff>
    </xdr:from>
    <xdr:to>
      <xdr:col>2</xdr:col>
      <xdr:colOff>7198179</xdr:colOff>
      <xdr:row>11</xdr:row>
      <xdr:rowOff>309555</xdr:rowOff>
    </xdr:to>
    <xdr:sp macro="" textlink="">
      <xdr:nvSpPr>
        <xdr:cNvPr id="3" name="TextBox 2">
          <a:extLst>
            <a:ext uri="{FF2B5EF4-FFF2-40B4-BE49-F238E27FC236}">
              <a16:creationId xmlns:a16="http://schemas.microsoft.com/office/drawing/2014/main" id="{4FC66A7C-5807-4993-BF40-60141321D094}"/>
            </a:ext>
          </a:extLst>
        </xdr:cNvPr>
        <xdr:cNvSpPr txBox="1"/>
      </xdr:nvSpPr>
      <xdr:spPr>
        <a:xfrm>
          <a:off x="542803" y="4507135"/>
          <a:ext cx="7044314" cy="16126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8.3: Conducting epidemiological</a:t>
          </a:r>
          <a:r>
            <a:rPr lang="en-US" sz="1100" b="1" baseline="0"/>
            <a:t> studies</a:t>
          </a:r>
          <a:endParaRPr lang="en-US" sz="1100" b="1"/>
        </a:p>
        <a:p>
          <a:endParaRPr lang="en-US" sz="1100" b="1"/>
        </a:p>
        <a:p>
          <a:pPr lvl="0"/>
          <a:r>
            <a:rPr lang="en-US" sz="1100">
              <a:solidFill>
                <a:schemeClr val="dk1"/>
              </a:solidFill>
              <a:effectLst/>
              <a:latin typeface="+mn-lt"/>
              <a:ea typeface="+mn-ea"/>
              <a:cs typeface="+mn-cs"/>
            </a:rPr>
            <a:t>8.3.1 Conduct data collection based on training related to collection tools, SOP, public outreach, and field logistics </a:t>
          </a:r>
        </a:p>
        <a:p>
          <a:pPr lvl="0"/>
          <a:endParaRPr lang="en-US" sz="1100" b="0" i="0" u="none" strike="noStrike">
            <a:solidFill>
              <a:schemeClr val="dk1"/>
            </a:solidFill>
            <a:effectLst/>
            <a:latin typeface="+mn-lt"/>
            <a:ea typeface="+mn-ea"/>
            <a:cs typeface="+mn-cs"/>
          </a:endParaRPr>
        </a:p>
        <a:p>
          <a:pPr lvl="0"/>
          <a:r>
            <a:rPr lang="en-US" sz="1100" b="0" i="0" u="none" strike="noStrike">
              <a:solidFill>
                <a:schemeClr val="dk1"/>
              </a:solidFill>
              <a:effectLst/>
              <a:latin typeface="+mn-lt"/>
              <a:ea typeface="+mn-ea"/>
              <a:cs typeface="+mn-cs"/>
            </a:rPr>
            <a:t>8.3.2</a:t>
          </a:r>
          <a:r>
            <a:rPr lang="en-US" sz="1100" b="0"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Provide data and information on gaps and challenges faced during data collection to intermediate and advanced levels </a:t>
          </a:r>
        </a:p>
        <a:p>
          <a:pPr lvl="0"/>
          <a:endParaRPr lang="en-US" sz="1100" b="0" i="0" u="none" strike="noStrike">
            <a:solidFill>
              <a:schemeClr val="dk1"/>
            </a:solidFill>
            <a:effectLst/>
            <a:latin typeface="+mn-lt"/>
            <a:ea typeface="+mn-ea"/>
            <a:cs typeface="+mn-cs"/>
          </a:endParaRPr>
        </a:p>
        <a:p>
          <a:pPr lvl="0"/>
          <a:r>
            <a:rPr lang="en-US" sz="1100" b="0" i="0" u="none" strike="noStrike">
              <a:solidFill>
                <a:schemeClr val="dk1"/>
              </a:solidFill>
              <a:effectLst/>
              <a:latin typeface="+mn-lt"/>
              <a:ea typeface="+mn-ea"/>
              <a:cs typeface="+mn-cs"/>
            </a:rPr>
            <a:t>8.3.3</a:t>
          </a:r>
          <a:r>
            <a:rPr lang="en-US"/>
            <a:t> </a:t>
          </a:r>
          <a:r>
            <a:rPr lang="en-US" sz="1100" b="0" i="0" u="none" strike="noStrike">
              <a:solidFill>
                <a:schemeClr val="dk1"/>
              </a:solidFill>
              <a:effectLst/>
              <a:latin typeface="+mn-lt"/>
              <a:ea typeface="+mn-ea"/>
              <a:cs typeface="+mn-cs"/>
            </a:rPr>
            <a:t>Participate in data analysis and provide urgent intervention when needed </a:t>
          </a:r>
          <a:endParaRPr lang="en-US" sz="1100">
            <a:solidFill>
              <a:schemeClr val="dk1"/>
            </a:solidFill>
            <a:effectLst/>
            <a:latin typeface="+mn-lt"/>
            <a:ea typeface="+mn-ea"/>
            <a:cs typeface="+mn-cs"/>
          </a:endParaRPr>
        </a:p>
        <a:p>
          <a:endParaRPr lang="en-US" sz="1100" b="1"/>
        </a:p>
      </xdr:txBody>
    </xdr:sp>
    <xdr:clientData/>
  </xdr:twoCellAnchor>
  <xdr:twoCellAnchor>
    <xdr:from>
      <xdr:col>2</xdr:col>
      <xdr:colOff>140188</xdr:colOff>
      <xdr:row>12</xdr:row>
      <xdr:rowOff>16780</xdr:rowOff>
    </xdr:from>
    <xdr:to>
      <xdr:col>2</xdr:col>
      <xdr:colOff>7202365</xdr:colOff>
      <xdr:row>13</xdr:row>
      <xdr:rowOff>500051</xdr:rowOff>
    </xdr:to>
    <xdr:sp macro="" textlink="">
      <xdr:nvSpPr>
        <xdr:cNvPr id="4" name="TextBox 3">
          <a:extLst>
            <a:ext uri="{FF2B5EF4-FFF2-40B4-BE49-F238E27FC236}">
              <a16:creationId xmlns:a16="http://schemas.microsoft.com/office/drawing/2014/main" id="{ABAA80DE-1183-45DA-B6E1-9AFB9A04101E}"/>
            </a:ext>
          </a:extLst>
        </xdr:cNvPr>
        <xdr:cNvSpPr txBox="1"/>
      </xdr:nvSpPr>
      <xdr:spPr>
        <a:xfrm>
          <a:off x="529126" y="6271530"/>
          <a:ext cx="7062177" cy="12532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8.4: Reporting</a:t>
          </a:r>
          <a:r>
            <a:rPr lang="en-US" sz="1100" b="1" baseline="0"/>
            <a:t> and publication study findings</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8.4.1 Develop a Brief Descriptive Field Study report for zoonotic or animal-specific disease events in the local context by using basic descriptive statistics </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i="0" u="none" strike="noStrike">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dk1"/>
              </a:solidFill>
              <a:effectLst/>
              <a:latin typeface="+mn-lt"/>
              <a:ea typeface="+mn-ea"/>
              <a:cs typeface="+mn-cs"/>
            </a:rPr>
            <a:t>8.4.2 Communicate written and oral reports to technical and non-technical audiences </a:t>
          </a:r>
          <a:endParaRPr lang="en-US" sz="1100" b="1"/>
        </a:p>
      </xdr:txBody>
    </xdr:sp>
    <xdr:clientData/>
  </xdr:twoCellAnchor>
  <xdr:twoCellAnchor>
    <xdr:from>
      <xdr:col>2</xdr:col>
      <xdr:colOff>151041</xdr:colOff>
      <xdr:row>6</xdr:row>
      <xdr:rowOff>496441</xdr:rowOff>
    </xdr:from>
    <xdr:to>
      <xdr:col>2</xdr:col>
      <xdr:colOff>7198179</xdr:colOff>
      <xdr:row>8</xdr:row>
      <xdr:rowOff>571496</xdr:rowOff>
    </xdr:to>
    <xdr:sp macro="" textlink="">
      <xdr:nvSpPr>
        <xdr:cNvPr id="5" name="TextBox 4">
          <a:extLst>
            <a:ext uri="{FF2B5EF4-FFF2-40B4-BE49-F238E27FC236}">
              <a16:creationId xmlns:a16="http://schemas.microsoft.com/office/drawing/2014/main" id="{2B328A34-6009-43B1-A6C8-3CA2DEA71491}"/>
            </a:ext>
          </a:extLst>
        </xdr:cNvPr>
        <xdr:cNvSpPr txBox="1"/>
      </xdr:nvSpPr>
      <xdr:spPr>
        <a:xfrm>
          <a:off x="539979" y="2449066"/>
          <a:ext cx="7047138" cy="19165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8.2: Designing</a:t>
          </a:r>
          <a:r>
            <a:rPr lang="en-US" sz="1100" b="1" baseline="0"/>
            <a:t> and planning epidemiological studies</a:t>
          </a:r>
        </a:p>
        <a:p>
          <a:endParaRPr lang="en-US" sz="1100" b="1"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8.2.1</a:t>
          </a:r>
          <a:r>
            <a:rPr lang="en-US" sz="1100" b="1" i="0" u="none" strike="noStrike" baseline="0">
              <a:solidFill>
                <a:schemeClr val="dk1"/>
              </a:solidFill>
              <a:effectLst/>
              <a:latin typeface="+mn-lt"/>
              <a:ea typeface="+mn-ea"/>
              <a:cs typeface="+mn-cs"/>
            </a:rPr>
            <a:t> </a:t>
          </a:r>
          <a:r>
            <a:rPr lang="en-US" sz="1100" b="0" i="0" u="none" strike="noStrike">
              <a:solidFill>
                <a:schemeClr val="dk1"/>
              </a:solidFill>
              <a:effectLst/>
              <a:latin typeface="+mn-lt"/>
              <a:ea typeface="+mn-ea"/>
              <a:cs typeface="+mn-cs"/>
            </a:rPr>
            <a:t>Prepare the list of data, collection tools, PPE, public outreach, communication, and other logistic requirements needed during the epidemiological study </a:t>
          </a:r>
          <a:endParaRPr lang="en-US"/>
        </a:p>
        <a:p>
          <a:endParaRPr lang="en-US" sz="1100">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8.2.2 Ensure basic principles of medical personal data protection, necessary data anonymization, ethical approval and informed consent for epidemiological studies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8.2.3 List local critical players and plan to collect information to understand disease drivers and interactions among players for a given disease situation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151041</xdr:colOff>
      <xdr:row>4</xdr:row>
      <xdr:rowOff>141301</xdr:rowOff>
    </xdr:from>
    <xdr:to>
      <xdr:col>2</xdr:col>
      <xdr:colOff>7198179</xdr:colOff>
      <xdr:row>7</xdr:row>
      <xdr:rowOff>147570</xdr:rowOff>
    </xdr:to>
    <xdr:sp macro="" textlink="">
      <xdr:nvSpPr>
        <xdr:cNvPr id="2" name="TextBox 1">
          <a:extLst>
            <a:ext uri="{FF2B5EF4-FFF2-40B4-BE49-F238E27FC236}">
              <a16:creationId xmlns:a16="http://schemas.microsoft.com/office/drawing/2014/main" id="{6A365BE1-A0EF-421B-B2BC-EDCA8B6A6446}"/>
            </a:ext>
          </a:extLst>
        </xdr:cNvPr>
        <xdr:cNvSpPr txBox="1"/>
      </xdr:nvSpPr>
      <xdr:spPr>
        <a:xfrm>
          <a:off x="540090" y="1207833"/>
          <a:ext cx="7047138" cy="1441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9.1: Planning</a:t>
          </a:r>
          <a:r>
            <a:rPr lang="en-US" sz="1100" b="1" baseline="0"/>
            <a:t> for data collection and analysis</a:t>
          </a:r>
          <a:endParaRPr lang="en-US" sz="1100" b="1"/>
        </a:p>
        <a:p>
          <a:endParaRPr lang="en-US" sz="1100" b="1"/>
        </a:p>
        <a:p>
          <a:pPr lvl="0"/>
          <a:r>
            <a:rPr lang="en-US" sz="1100">
              <a:solidFill>
                <a:schemeClr val="dk1"/>
              </a:solidFill>
              <a:effectLst/>
              <a:latin typeface="+mn-lt"/>
              <a:ea typeface="+mn-ea"/>
              <a:cs typeface="+mn-cs"/>
            </a:rPr>
            <a:t>9.1.1 Review data collection plans (questionnaires, forms, sampling strategies) before beginning data collection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9.1.2 Differentiate between quantitative and qualitative data, explain mixed-method approaches </a:t>
          </a:r>
        </a:p>
        <a:p>
          <a:pPr lvl="0"/>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9.1.3 Describe the uses and limitations of aggregated data </a:t>
          </a:r>
        </a:p>
      </xdr:txBody>
    </xdr:sp>
    <xdr:clientData/>
  </xdr:twoCellAnchor>
  <xdr:twoCellAnchor>
    <xdr:from>
      <xdr:col>2</xdr:col>
      <xdr:colOff>153865</xdr:colOff>
      <xdr:row>7</xdr:row>
      <xdr:rowOff>276685</xdr:rowOff>
    </xdr:from>
    <xdr:to>
      <xdr:col>2</xdr:col>
      <xdr:colOff>7198179</xdr:colOff>
      <xdr:row>12</xdr:row>
      <xdr:rowOff>73784</xdr:rowOff>
    </xdr:to>
    <xdr:sp macro="" textlink="">
      <xdr:nvSpPr>
        <xdr:cNvPr id="3" name="TextBox 2">
          <a:extLst>
            <a:ext uri="{FF2B5EF4-FFF2-40B4-BE49-F238E27FC236}">
              <a16:creationId xmlns:a16="http://schemas.microsoft.com/office/drawing/2014/main" id="{4883B67B-B7D0-40C5-85E3-D451093FF642}"/>
            </a:ext>
          </a:extLst>
        </xdr:cNvPr>
        <xdr:cNvSpPr txBox="1"/>
      </xdr:nvSpPr>
      <xdr:spPr>
        <a:xfrm>
          <a:off x="542914" y="2778675"/>
          <a:ext cx="7044314" cy="1400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9.2: Data</a:t>
          </a:r>
          <a:r>
            <a:rPr lang="en-US" sz="1100" b="1" baseline="0"/>
            <a:t> collection </a:t>
          </a:r>
          <a:endParaRPr lang="en-US" sz="1100" b="1"/>
        </a:p>
        <a:p>
          <a:endParaRPr lang="en-US">
            <a:effectLst/>
          </a:endParaRPr>
        </a:p>
        <a:p>
          <a:r>
            <a:rPr lang="en-US" sz="1100">
              <a:solidFill>
                <a:schemeClr val="dk1"/>
              </a:solidFill>
              <a:effectLst/>
              <a:latin typeface="+mn-lt"/>
              <a:ea typeface="+mn-ea"/>
              <a:cs typeface="+mn-cs"/>
            </a:rPr>
            <a:t>9.2.1 Collect data in a consistent and standardized way</a:t>
          </a:r>
          <a:endParaRPr lang="en-US">
            <a:effectLst/>
          </a:endParaRP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9.2.2 Describe minimum variables for a line list </a:t>
          </a:r>
          <a:endParaRPr lang="en-US" sz="1100" b="1"/>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9.2.3 Use appropriate data quality standards for data collection for surveillance, laboratory, epidemiological studies, etc.</a:t>
          </a:r>
        </a:p>
      </xdr:txBody>
    </xdr:sp>
    <xdr:clientData/>
  </xdr:twoCellAnchor>
  <xdr:twoCellAnchor>
    <xdr:from>
      <xdr:col>2</xdr:col>
      <xdr:colOff>153865</xdr:colOff>
      <xdr:row>13</xdr:row>
      <xdr:rowOff>9224</xdr:rowOff>
    </xdr:from>
    <xdr:to>
      <xdr:col>2</xdr:col>
      <xdr:colOff>7198179</xdr:colOff>
      <xdr:row>26</xdr:row>
      <xdr:rowOff>29613</xdr:rowOff>
    </xdr:to>
    <xdr:sp macro="" textlink="">
      <xdr:nvSpPr>
        <xdr:cNvPr id="5" name="TextBox 4">
          <a:extLst>
            <a:ext uri="{FF2B5EF4-FFF2-40B4-BE49-F238E27FC236}">
              <a16:creationId xmlns:a16="http://schemas.microsoft.com/office/drawing/2014/main" id="{AD66CB7E-FC52-47DC-BB8F-C1827CFAB719}"/>
            </a:ext>
          </a:extLst>
        </xdr:cNvPr>
        <xdr:cNvSpPr txBox="1"/>
      </xdr:nvSpPr>
      <xdr:spPr>
        <a:xfrm>
          <a:off x="542914" y="4315597"/>
          <a:ext cx="7044314" cy="26364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9.3: Data</a:t>
          </a:r>
          <a:r>
            <a:rPr lang="en-US" sz="1100" b="1" baseline="0"/>
            <a:t> analysis </a:t>
          </a:r>
          <a:endParaRPr lang="en-US" sz="1100" b="1"/>
        </a:p>
        <a:p>
          <a:endParaRPr lang="en-US" sz="1100" b="1"/>
        </a:p>
        <a:p>
          <a:pPr lvl="0"/>
          <a:r>
            <a:rPr lang="en-US" sz="1100">
              <a:solidFill>
                <a:schemeClr val="dk1"/>
              </a:solidFill>
              <a:effectLst/>
              <a:latin typeface="+mn-lt"/>
              <a:ea typeface="+mn-ea"/>
              <a:cs typeface="+mn-cs"/>
            </a:rPr>
            <a:t>9.3.1 Apply basic principles of data consistency and data cleaning</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9.3.2 Calculate rates to quantify incidence, prevalence, attack rates, mortality rates, etc.</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9.3.3 Describe the epidemiological principles of unit (person/animal), place and time</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9.3.4</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Create simple tables, graphs, and maps from surveillance and epidemiologic data</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9.3.5 Calculate</a:t>
          </a:r>
          <a:r>
            <a:rPr lang="en-US" sz="1100" baseline="0">
              <a:solidFill>
                <a:schemeClr val="dk1"/>
              </a:solidFill>
              <a:effectLst/>
              <a:latin typeface="+mn-lt"/>
              <a:ea typeface="+mn-ea"/>
              <a:cs typeface="+mn-cs"/>
            </a:rPr>
            <a:t> summary statistics including measures of central tendency and dispersion (mean and standard deviation, median and mode), and percentiles and quartiles</a:t>
          </a:r>
        </a:p>
        <a:p>
          <a:pPr lvl="0"/>
          <a:endParaRPr lang="en-US" sz="1100" baseline="0">
            <a:solidFill>
              <a:schemeClr val="dk1"/>
            </a:solidFill>
            <a:effectLst/>
            <a:latin typeface="+mn-lt"/>
            <a:ea typeface="+mn-ea"/>
            <a:cs typeface="+mn-cs"/>
          </a:endParaRPr>
        </a:p>
        <a:p>
          <a:pPr lvl="0"/>
          <a:r>
            <a:rPr lang="en-US" sz="1100">
              <a:solidFill>
                <a:schemeClr val="dk1"/>
              </a:solidFill>
              <a:effectLst/>
              <a:latin typeface="+mn-lt"/>
              <a:ea typeface="+mn-ea"/>
              <a:cs typeface="+mn-cs"/>
            </a:rPr>
            <a:t>9.3.6 Use software to manage and summarize data</a:t>
          </a:r>
        </a:p>
      </xdr:txBody>
    </xdr:sp>
    <xdr:clientData/>
  </xdr:twoCellAnchor>
  <xdr:twoCellAnchor>
    <xdr:from>
      <xdr:col>2</xdr:col>
      <xdr:colOff>156132</xdr:colOff>
      <xdr:row>26</xdr:row>
      <xdr:rowOff>143610</xdr:rowOff>
    </xdr:from>
    <xdr:to>
      <xdr:col>2</xdr:col>
      <xdr:colOff>7194096</xdr:colOff>
      <xdr:row>33</xdr:row>
      <xdr:rowOff>149009</xdr:rowOff>
    </xdr:to>
    <xdr:sp macro="" textlink="">
      <xdr:nvSpPr>
        <xdr:cNvPr id="6" name="TextBox 5">
          <a:extLst>
            <a:ext uri="{FF2B5EF4-FFF2-40B4-BE49-F238E27FC236}">
              <a16:creationId xmlns:a16="http://schemas.microsoft.com/office/drawing/2014/main" id="{D248ECF9-B716-41AB-BEEE-A66FD5FECC69}"/>
            </a:ext>
          </a:extLst>
        </xdr:cNvPr>
        <xdr:cNvSpPr txBox="1"/>
      </xdr:nvSpPr>
      <xdr:spPr>
        <a:xfrm>
          <a:off x="545181" y="7066004"/>
          <a:ext cx="7037964" cy="1414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9.4: Data interpretation and</a:t>
          </a:r>
          <a:r>
            <a:rPr lang="en-US" sz="1100" b="1" baseline="0"/>
            <a:t> presentation</a:t>
          </a:r>
          <a:endParaRPr lang="en-US" sz="1100" b="1"/>
        </a:p>
        <a:p>
          <a:endParaRPr lang="en-US">
            <a:effectLst/>
          </a:endParaRPr>
        </a:p>
        <a:p>
          <a:r>
            <a:rPr lang="en-US" sz="1100">
              <a:solidFill>
                <a:schemeClr val="dk1"/>
              </a:solidFill>
              <a:effectLst/>
              <a:latin typeface="+mn-lt"/>
              <a:ea typeface="+mn-ea"/>
              <a:cs typeface="+mn-cs"/>
            </a:rPr>
            <a:t>9.4.1 Present data in basic tables, graphs, and maps</a:t>
          </a:r>
          <a:endParaRPr lang="en-US">
            <a:effectLst/>
          </a:endParaRPr>
        </a:p>
        <a:p>
          <a:endParaRPr lang="en-US">
            <a:effectLst/>
          </a:endParaRPr>
        </a:p>
        <a:p>
          <a:r>
            <a:rPr lang="en-US" sz="1100">
              <a:solidFill>
                <a:schemeClr val="dk1"/>
              </a:solidFill>
              <a:effectLst/>
              <a:latin typeface="+mn-lt"/>
              <a:ea typeface="+mn-ea"/>
              <a:cs typeface="+mn-cs"/>
            </a:rPr>
            <a:t>9.4.2 Develop simple regular reports </a:t>
          </a:r>
          <a:endParaRPr lang="en-US">
            <a:effectLst/>
          </a:endParaRPr>
        </a:p>
        <a:p>
          <a:pPr lvl="0"/>
          <a:endParaRPr lang="fr-CH" sz="1100">
            <a:solidFill>
              <a:schemeClr val="dk1"/>
            </a:solidFill>
            <a:effectLst/>
            <a:latin typeface="+mn-lt"/>
            <a:ea typeface="+mn-ea"/>
            <a:cs typeface="+mn-cs"/>
          </a:endParaRPr>
        </a:p>
        <a:p>
          <a:pPr lvl="0"/>
          <a:r>
            <a:rPr lang="fr-CH" sz="1100">
              <a:solidFill>
                <a:schemeClr val="dk1"/>
              </a:solidFill>
              <a:effectLst/>
              <a:latin typeface="+mn-lt"/>
              <a:ea typeface="+mn-ea"/>
              <a:cs typeface="+mn-cs"/>
            </a:rPr>
            <a:t>9.4.3 Interpret descriptive data (e.g., surveillance data)</a:t>
          </a:r>
        </a:p>
      </xdr:txBody>
    </xdr:sp>
    <xdr:clientData/>
  </xdr:twoCellAnchor>
  <xdr:twoCellAnchor>
    <xdr:from>
      <xdr:col>2</xdr:col>
      <xdr:colOff>164109</xdr:colOff>
      <xdr:row>34</xdr:row>
      <xdr:rowOff>91341</xdr:rowOff>
    </xdr:from>
    <xdr:to>
      <xdr:col>2</xdr:col>
      <xdr:colOff>7202073</xdr:colOff>
      <xdr:row>39</xdr:row>
      <xdr:rowOff>100615</xdr:rowOff>
    </xdr:to>
    <xdr:sp macro="" textlink="">
      <xdr:nvSpPr>
        <xdr:cNvPr id="7" name="TextBox 6">
          <a:extLst>
            <a:ext uri="{FF2B5EF4-FFF2-40B4-BE49-F238E27FC236}">
              <a16:creationId xmlns:a16="http://schemas.microsoft.com/office/drawing/2014/main" id="{FA03E7D5-A0E9-4BC0-97D4-90B1350DF2F5}"/>
            </a:ext>
          </a:extLst>
        </xdr:cNvPr>
        <xdr:cNvSpPr txBox="1"/>
      </xdr:nvSpPr>
      <xdr:spPr>
        <a:xfrm>
          <a:off x="553158" y="8623595"/>
          <a:ext cx="7037964" cy="10154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9.5: Digital tools</a:t>
          </a:r>
        </a:p>
        <a:p>
          <a:endParaRPr lang="en-US" sz="1100" b="1"/>
        </a:p>
        <a:p>
          <a:pPr lvl="0"/>
          <a:r>
            <a:rPr lang="en-US" sz="1100">
              <a:solidFill>
                <a:schemeClr val="dk1"/>
              </a:solidFill>
              <a:effectLst/>
              <a:latin typeface="+mn-lt"/>
              <a:ea typeface="+mn-ea"/>
              <a:cs typeface="+mn-cs"/>
            </a:rPr>
            <a:t>9.5.1 Use available software</a:t>
          </a:r>
          <a:r>
            <a:rPr lang="en-US" sz="1100" baseline="0">
              <a:solidFill>
                <a:schemeClr val="dk1"/>
              </a:solidFill>
              <a:effectLst/>
              <a:latin typeface="+mn-lt"/>
              <a:ea typeface="+mn-ea"/>
              <a:cs typeface="+mn-cs"/>
            </a:rPr>
            <a:t> and </a:t>
          </a:r>
          <a:r>
            <a:rPr lang="en-US" sz="1100">
              <a:solidFill>
                <a:schemeClr val="dk1"/>
              </a:solidFill>
              <a:effectLst/>
              <a:latin typeface="+mn-lt"/>
              <a:ea typeface="+mn-ea"/>
              <a:cs typeface="+mn-cs"/>
            </a:rPr>
            <a:t>digital tools for data collection and reporting whenever possible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9.5.2 Use word processing, spread sheets, and presentation software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151041</xdr:colOff>
      <xdr:row>4</xdr:row>
      <xdr:rowOff>151040</xdr:rowOff>
    </xdr:from>
    <xdr:to>
      <xdr:col>2</xdr:col>
      <xdr:colOff>7198179</xdr:colOff>
      <xdr:row>6</xdr:row>
      <xdr:rowOff>22150</xdr:rowOff>
    </xdr:to>
    <xdr:sp macro="" textlink="">
      <xdr:nvSpPr>
        <xdr:cNvPr id="2" name="TextBox 1">
          <a:extLst>
            <a:ext uri="{FF2B5EF4-FFF2-40B4-BE49-F238E27FC236}">
              <a16:creationId xmlns:a16="http://schemas.microsoft.com/office/drawing/2014/main" id="{9F7233D0-5200-447B-99CC-781E1D267378}"/>
            </a:ext>
          </a:extLst>
        </xdr:cNvPr>
        <xdr:cNvSpPr txBox="1"/>
      </xdr:nvSpPr>
      <xdr:spPr>
        <a:xfrm>
          <a:off x="544225" y="1219834"/>
          <a:ext cx="7047138" cy="1078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10.1</a:t>
          </a:r>
          <a:r>
            <a:rPr lang="en-US" sz="1100" b="1" baseline="0"/>
            <a:t>: Biodiversity and Ecosystems</a:t>
          </a:r>
          <a:endParaRPr lang="en-US" sz="1100" b="1"/>
        </a:p>
        <a:p>
          <a:endParaRPr lang="en-US" sz="1100" b="0"/>
        </a:p>
        <a:p>
          <a:r>
            <a:rPr lang="en-US" sz="1100" b="0"/>
            <a:t>10.1.1</a:t>
          </a:r>
          <a:r>
            <a:rPr lang="en-US" sz="1100" b="0" baseline="0"/>
            <a:t> Describe the importance of biodiversity and healthy ecosystems</a:t>
          </a:r>
        </a:p>
        <a:p>
          <a:endParaRPr lang="en-US" sz="1100" b="0" baseline="0"/>
        </a:p>
        <a:p>
          <a:r>
            <a:rPr lang="en-US" sz="1100" b="0"/>
            <a:t>10.1.2 Identify local ecosystems and describe their interactions</a:t>
          </a:r>
        </a:p>
      </xdr:txBody>
    </xdr:sp>
    <xdr:clientData/>
  </xdr:twoCellAnchor>
  <xdr:twoCellAnchor>
    <xdr:from>
      <xdr:col>2</xdr:col>
      <xdr:colOff>151041</xdr:colOff>
      <xdr:row>6</xdr:row>
      <xdr:rowOff>123195</xdr:rowOff>
    </xdr:from>
    <xdr:to>
      <xdr:col>2</xdr:col>
      <xdr:colOff>7198179</xdr:colOff>
      <xdr:row>7</xdr:row>
      <xdr:rowOff>553777</xdr:rowOff>
    </xdr:to>
    <xdr:sp macro="" textlink="">
      <xdr:nvSpPr>
        <xdr:cNvPr id="4" name="TextBox 3">
          <a:extLst>
            <a:ext uri="{FF2B5EF4-FFF2-40B4-BE49-F238E27FC236}">
              <a16:creationId xmlns:a16="http://schemas.microsoft.com/office/drawing/2014/main" id="{8C91277C-354C-4E5C-BFE4-E4690DE199BF}"/>
            </a:ext>
          </a:extLst>
        </xdr:cNvPr>
        <xdr:cNvSpPr txBox="1"/>
      </xdr:nvSpPr>
      <xdr:spPr>
        <a:xfrm>
          <a:off x="544225" y="2399228"/>
          <a:ext cx="7047138" cy="10674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10.2: Plant,</a:t>
          </a:r>
          <a:r>
            <a:rPr lang="en-US" sz="1100" b="1" baseline="0"/>
            <a:t> animal and ecosystem health</a:t>
          </a:r>
          <a:endParaRPr lang="en-US" sz="1100" b="1"/>
        </a:p>
        <a:p>
          <a:endParaRPr lang="en-US" sz="1100" b="1"/>
        </a:p>
        <a:p>
          <a:r>
            <a:rPr lang="en-US" sz="1100" b="0"/>
            <a:t>10.2.1</a:t>
          </a:r>
          <a:r>
            <a:rPr lang="en-US" sz="1100" b="0" baseline="0"/>
            <a:t> Describe the concept of ecosystem services</a:t>
          </a:r>
        </a:p>
        <a:p>
          <a:endParaRPr lang="en-US" sz="1100" b="0" baseline="0"/>
        </a:p>
        <a:p>
          <a:r>
            <a:rPr lang="en-US" sz="1100" b="0" baseline="0"/>
            <a:t>10.2.2 Explain the roles and responsibilities of agencies that manage plant, animal and ecosystem health</a:t>
          </a:r>
          <a:endParaRPr lang="en-US" sz="1100" b="0"/>
        </a:p>
      </xdr:txBody>
    </xdr:sp>
    <xdr:clientData/>
  </xdr:twoCellAnchor>
  <xdr:twoCellAnchor>
    <xdr:from>
      <xdr:col>2</xdr:col>
      <xdr:colOff>151041</xdr:colOff>
      <xdr:row>8</xdr:row>
      <xdr:rowOff>29062</xdr:rowOff>
    </xdr:from>
    <xdr:to>
      <xdr:col>2</xdr:col>
      <xdr:colOff>7198179</xdr:colOff>
      <xdr:row>9</xdr:row>
      <xdr:rowOff>470705</xdr:rowOff>
    </xdr:to>
    <xdr:sp macro="" textlink="">
      <xdr:nvSpPr>
        <xdr:cNvPr id="5" name="TextBox 4">
          <a:extLst>
            <a:ext uri="{FF2B5EF4-FFF2-40B4-BE49-F238E27FC236}">
              <a16:creationId xmlns:a16="http://schemas.microsoft.com/office/drawing/2014/main" id="{4CFE7CD5-DAB7-47C1-8933-C122C4379BD8}"/>
            </a:ext>
          </a:extLst>
        </xdr:cNvPr>
        <xdr:cNvSpPr txBox="1"/>
      </xdr:nvSpPr>
      <xdr:spPr>
        <a:xfrm>
          <a:off x="544225" y="3578786"/>
          <a:ext cx="7047138" cy="11061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10.3: Air, Water, and Soil Quality</a:t>
          </a:r>
        </a:p>
        <a:p>
          <a:endParaRPr lang="en-US" sz="1100" b="1"/>
        </a:p>
        <a:p>
          <a:r>
            <a:rPr lang="en-US" sz="1100" b="0"/>
            <a:t>10.3.1</a:t>
          </a:r>
          <a:r>
            <a:rPr lang="en-US" sz="1100" b="0" baseline="0"/>
            <a:t> Describe</a:t>
          </a:r>
          <a:r>
            <a:rPr lang="en-US" sz="1100" b="0"/>
            <a:t> the health impacts</a:t>
          </a:r>
          <a:r>
            <a:rPr lang="en-US" sz="1100" b="0" baseline="0"/>
            <a:t> of local environmental contaminants on human, animal and ecosystem health</a:t>
          </a:r>
        </a:p>
        <a:p>
          <a:endParaRPr lang="en-US" sz="1100" b="0" baseline="0"/>
        </a:p>
        <a:p>
          <a:r>
            <a:rPr lang="en-US" sz="1100" b="0" baseline="0"/>
            <a:t>10.3.2 List the agencies involved in monitoring air, water and soil quality</a:t>
          </a:r>
          <a:endParaRPr lang="en-US" sz="1100" b="0"/>
        </a:p>
      </xdr:txBody>
    </xdr:sp>
    <xdr:clientData/>
  </xdr:twoCellAnchor>
  <xdr:twoCellAnchor>
    <xdr:from>
      <xdr:col>2</xdr:col>
      <xdr:colOff>153763</xdr:colOff>
      <xdr:row>9</xdr:row>
      <xdr:rowOff>572618</xdr:rowOff>
    </xdr:from>
    <xdr:to>
      <xdr:col>2</xdr:col>
      <xdr:colOff>7200901</xdr:colOff>
      <xdr:row>11</xdr:row>
      <xdr:rowOff>132899</xdr:rowOff>
    </xdr:to>
    <xdr:sp macro="" textlink="">
      <xdr:nvSpPr>
        <xdr:cNvPr id="6" name="TextBox 5">
          <a:extLst>
            <a:ext uri="{FF2B5EF4-FFF2-40B4-BE49-F238E27FC236}">
              <a16:creationId xmlns:a16="http://schemas.microsoft.com/office/drawing/2014/main" id="{D15CC3BD-260D-4008-B623-2215E185744C}"/>
            </a:ext>
          </a:extLst>
        </xdr:cNvPr>
        <xdr:cNvSpPr txBox="1"/>
      </xdr:nvSpPr>
      <xdr:spPr>
        <a:xfrm>
          <a:off x="546947" y="4786877"/>
          <a:ext cx="7047138" cy="1133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10.4: Impacts</a:t>
          </a:r>
          <a:r>
            <a:rPr lang="en-US" sz="1100" b="1" baseline="0"/>
            <a:t> of environmental degradation on health</a:t>
          </a:r>
          <a:endParaRPr lang="en-US" sz="1100" b="1"/>
        </a:p>
        <a:p>
          <a:endParaRPr lang="en-US" sz="1100" b="1"/>
        </a:p>
        <a:p>
          <a:r>
            <a:rPr lang="en-US" sz="1100" b="0"/>
            <a:t>10.4.1 </a:t>
          </a:r>
          <a:r>
            <a:rPr lang="en-US" sz="1100" b="0" i="0">
              <a:solidFill>
                <a:schemeClr val="dk1"/>
              </a:solidFill>
              <a:effectLst/>
              <a:latin typeface="+mn-lt"/>
              <a:ea typeface="+mn-ea"/>
              <a:cs typeface="+mn-cs"/>
            </a:rPr>
            <a:t>Illustrate the impact of environmental</a:t>
          </a:r>
          <a:r>
            <a:rPr lang="en-US" sz="1100" b="0" i="0" baseline="0">
              <a:solidFill>
                <a:schemeClr val="dk1"/>
              </a:solidFill>
              <a:effectLst/>
              <a:latin typeface="+mn-lt"/>
              <a:ea typeface="+mn-ea"/>
              <a:cs typeface="+mn-cs"/>
            </a:rPr>
            <a:t> degradation on local ecosystem health</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10.4.2 Contribute data to environmental impact assessments</a:t>
          </a:r>
          <a:endParaRPr lang="en-US" sz="1100" b="0"/>
        </a:p>
      </xdr:txBody>
    </xdr:sp>
    <xdr:clientData/>
  </xdr:twoCellAnchor>
  <xdr:twoCellAnchor>
    <xdr:from>
      <xdr:col>2</xdr:col>
      <xdr:colOff>153763</xdr:colOff>
      <xdr:row>11</xdr:row>
      <xdr:rowOff>241424</xdr:rowOff>
    </xdr:from>
    <xdr:to>
      <xdr:col>2</xdr:col>
      <xdr:colOff>7200901</xdr:colOff>
      <xdr:row>13</xdr:row>
      <xdr:rowOff>310110</xdr:rowOff>
    </xdr:to>
    <xdr:sp macro="" textlink="">
      <xdr:nvSpPr>
        <xdr:cNvPr id="7" name="TextBox 6">
          <a:extLst>
            <a:ext uri="{FF2B5EF4-FFF2-40B4-BE49-F238E27FC236}">
              <a16:creationId xmlns:a16="http://schemas.microsoft.com/office/drawing/2014/main" id="{7E9CD3C6-26C0-45D0-A988-76D17B251A52}"/>
            </a:ext>
          </a:extLst>
        </xdr:cNvPr>
        <xdr:cNvSpPr txBox="1"/>
      </xdr:nvSpPr>
      <xdr:spPr>
        <a:xfrm>
          <a:off x="546947" y="6028416"/>
          <a:ext cx="7047138" cy="15971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10.5: Anthropogenic,</a:t>
          </a:r>
          <a:r>
            <a:rPr lang="en-US" sz="1100" b="1" baseline="0"/>
            <a:t> environmental and socioeconomic drivers of emerging health threats</a:t>
          </a:r>
          <a:endParaRPr lang="en-US" sz="1100" b="1"/>
        </a:p>
        <a:p>
          <a:endParaRPr lang="en-US" sz="1100" b="1"/>
        </a:p>
        <a:p>
          <a:r>
            <a:rPr lang="en-US" sz="1100" b="0"/>
            <a:t>10.5.1</a:t>
          </a:r>
          <a:r>
            <a:rPr lang="en-US" sz="1100" b="1"/>
            <a:t> </a:t>
          </a:r>
          <a:r>
            <a:rPr lang="en-US" sz="1100" b="0" i="0">
              <a:solidFill>
                <a:schemeClr val="dk1"/>
              </a:solidFill>
              <a:effectLst/>
              <a:latin typeface="+mn-lt"/>
              <a:ea typeface="+mn-ea"/>
              <a:cs typeface="+mn-cs"/>
            </a:rPr>
            <a:t>Discuss local examples illustrating the concept of human-environment interface and interactions</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10.5.2 Describe how habitat incursion, deforestation</a:t>
          </a:r>
          <a:r>
            <a:rPr lang="en-US" sz="1100" b="0" i="0" baseline="0">
              <a:solidFill>
                <a:schemeClr val="dk1"/>
              </a:solidFill>
              <a:effectLst/>
              <a:latin typeface="+mn-lt"/>
              <a:ea typeface="+mn-ea"/>
              <a:cs typeface="+mn-cs"/>
            </a:rPr>
            <a:t> and changes in land use and land cover impact disease emergence and ecosystem health</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10.5.3 Describe how local legal and illegal trade in wildlife impact health and facilitate transmission of disease</a:t>
          </a:r>
          <a:endParaRPr lang="en-US" sz="1100" b="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151041</xdr:colOff>
      <xdr:row>4</xdr:row>
      <xdr:rowOff>119944</xdr:rowOff>
    </xdr:from>
    <xdr:to>
      <xdr:col>2</xdr:col>
      <xdr:colOff>7198179</xdr:colOff>
      <xdr:row>6</xdr:row>
      <xdr:rowOff>460375</xdr:rowOff>
    </xdr:to>
    <xdr:sp macro="" textlink="">
      <xdr:nvSpPr>
        <xdr:cNvPr id="2" name="TextBox 1">
          <a:extLst>
            <a:ext uri="{FF2B5EF4-FFF2-40B4-BE49-F238E27FC236}">
              <a16:creationId xmlns:a16="http://schemas.microsoft.com/office/drawing/2014/main" id="{7D50815F-B469-40D8-B2A9-01A9F7820DCF}"/>
            </a:ext>
          </a:extLst>
        </xdr:cNvPr>
        <xdr:cNvSpPr txBox="1"/>
      </xdr:nvSpPr>
      <xdr:spPr>
        <a:xfrm>
          <a:off x="539979" y="1191507"/>
          <a:ext cx="7047138" cy="1070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11.1:</a:t>
          </a:r>
          <a:r>
            <a:rPr lang="en-US" sz="1100" b="1" baseline="0"/>
            <a:t> Leadership and One Health</a:t>
          </a:r>
          <a:endParaRPr lang="en-US" sz="1100" b="1"/>
        </a:p>
        <a:p>
          <a:endParaRPr lang="en-US" sz="1100" b="1"/>
        </a:p>
        <a:p>
          <a:r>
            <a:rPr lang="en-US" sz="1100" b="0"/>
            <a:t>11.1.1</a:t>
          </a:r>
          <a:r>
            <a:rPr lang="en-US" sz="1100" b="0" baseline="0"/>
            <a:t> </a:t>
          </a:r>
          <a:r>
            <a:rPr lang="en-US" sz="1100">
              <a:solidFill>
                <a:schemeClr val="dk1"/>
              </a:solidFill>
              <a:effectLst/>
              <a:latin typeface="+mn-lt"/>
              <a:ea typeface="+mn-ea"/>
              <a:cs typeface="+mn-cs"/>
            </a:rPr>
            <a:t>Apply ethical principles and professional code of conduct </a:t>
          </a:r>
        </a:p>
        <a:p>
          <a:endParaRPr lang="en-US" sz="1100" b="0">
            <a:solidFill>
              <a:schemeClr val="dk1"/>
            </a:solidFill>
            <a:effectLst/>
            <a:latin typeface="+mn-lt"/>
            <a:ea typeface="+mn-ea"/>
            <a:cs typeface="+mn-cs"/>
          </a:endParaRPr>
        </a:p>
        <a:p>
          <a:r>
            <a:rPr lang="en-US" sz="1100" b="0">
              <a:solidFill>
                <a:schemeClr val="dk1"/>
              </a:solidFill>
              <a:effectLst/>
              <a:latin typeface="+mn-lt"/>
              <a:ea typeface="+mn-ea"/>
              <a:cs typeface="+mn-cs"/>
            </a:rPr>
            <a:t>11.1.2</a:t>
          </a:r>
          <a:r>
            <a:rPr lang="en-US" sz="1100" b="0" baseline="0">
              <a:solidFill>
                <a:schemeClr val="dk1"/>
              </a:solidFill>
              <a:effectLst/>
              <a:latin typeface="+mn-lt"/>
              <a:ea typeface="+mn-ea"/>
              <a:cs typeface="+mn-cs"/>
            </a:rPr>
            <a:t> D</a:t>
          </a:r>
          <a:r>
            <a:rPr lang="en-US" sz="1100">
              <a:solidFill>
                <a:schemeClr val="dk1"/>
              </a:solidFill>
              <a:effectLst/>
              <a:latin typeface="+mn-lt"/>
              <a:ea typeface="+mn-ea"/>
              <a:cs typeface="+mn-cs"/>
            </a:rPr>
            <a:t>evelop, and maintain interprofessional, multidisciplinary and multisectoral collaboration and communication </a:t>
          </a:r>
          <a:endParaRPr lang="en-US" sz="1100" b="0"/>
        </a:p>
      </xdr:txBody>
    </xdr:sp>
    <xdr:clientData/>
  </xdr:twoCellAnchor>
  <xdr:twoCellAnchor>
    <xdr:from>
      <xdr:col>2</xdr:col>
      <xdr:colOff>153865</xdr:colOff>
      <xdr:row>12</xdr:row>
      <xdr:rowOff>457546</xdr:rowOff>
    </xdr:from>
    <xdr:to>
      <xdr:col>2</xdr:col>
      <xdr:colOff>7198179</xdr:colOff>
      <xdr:row>14</xdr:row>
      <xdr:rowOff>531810</xdr:rowOff>
    </xdr:to>
    <xdr:sp macro="" textlink="">
      <xdr:nvSpPr>
        <xdr:cNvPr id="3" name="TextBox 2">
          <a:extLst>
            <a:ext uri="{FF2B5EF4-FFF2-40B4-BE49-F238E27FC236}">
              <a16:creationId xmlns:a16="http://schemas.microsoft.com/office/drawing/2014/main" id="{BD12183F-11E4-4C52-86E6-393ED01A89A2}"/>
            </a:ext>
          </a:extLst>
        </xdr:cNvPr>
        <xdr:cNvSpPr txBox="1"/>
      </xdr:nvSpPr>
      <xdr:spPr>
        <a:xfrm>
          <a:off x="542803" y="5870921"/>
          <a:ext cx="7044314" cy="13601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11.6:</a:t>
          </a:r>
          <a:r>
            <a:rPr lang="en-US" sz="1100" b="1" baseline="0"/>
            <a:t> Security in the field</a:t>
          </a:r>
          <a:endParaRPr lang="en-US" sz="1100" b="1"/>
        </a:p>
        <a:p>
          <a:endParaRPr lang="en-US" sz="1100" b="1"/>
        </a:p>
        <a:p>
          <a:pPr lvl="0"/>
          <a:r>
            <a:rPr lang="en-US" sz="1100">
              <a:solidFill>
                <a:schemeClr val="dk1"/>
              </a:solidFill>
              <a:effectLst/>
              <a:latin typeface="+mn-lt"/>
              <a:ea typeface="+mn-ea"/>
              <a:cs typeface="+mn-cs"/>
            </a:rPr>
            <a:t>11.6.1 Identify personal security risks and practice security awareness</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11.6.2 Prepare risk mitigation action plans prior to engaging in fieldwork</a:t>
          </a:r>
        </a:p>
        <a:p>
          <a:endParaRPr lang="en-US" sz="1100" b="1">
            <a:solidFill>
              <a:schemeClr val="dk1"/>
            </a:solidFill>
            <a:effectLst/>
            <a:latin typeface="+mn-lt"/>
            <a:ea typeface="+mn-ea"/>
            <a:cs typeface="+mn-cs"/>
          </a:endParaRPr>
        </a:p>
        <a:p>
          <a:r>
            <a:rPr lang="en-US" sz="1100" b="0">
              <a:solidFill>
                <a:schemeClr val="dk1"/>
              </a:solidFill>
              <a:effectLst/>
              <a:latin typeface="+mn-lt"/>
              <a:ea typeface="+mn-ea"/>
              <a:cs typeface="+mn-cs"/>
            </a:rPr>
            <a:t>11.6.3 Practice situational awareness to keep yourself and</a:t>
          </a:r>
          <a:r>
            <a:rPr lang="en-US" sz="1100" b="0" baseline="0">
              <a:solidFill>
                <a:schemeClr val="dk1"/>
              </a:solidFill>
              <a:effectLst/>
              <a:latin typeface="+mn-lt"/>
              <a:ea typeface="+mn-ea"/>
              <a:cs typeface="+mn-cs"/>
            </a:rPr>
            <a:t> your colleagues safe</a:t>
          </a:r>
          <a:endParaRPr lang="en-US" sz="1100" b="0"/>
        </a:p>
      </xdr:txBody>
    </xdr:sp>
    <xdr:clientData/>
  </xdr:twoCellAnchor>
  <xdr:twoCellAnchor>
    <xdr:from>
      <xdr:col>2</xdr:col>
      <xdr:colOff>151041</xdr:colOff>
      <xdr:row>6</xdr:row>
      <xdr:rowOff>586864</xdr:rowOff>
    </xdr:from>
    <xdr:to>
      <xdr:col>2</xdr:col>
      <xdr:colOff>7198179</xdr:colOff>
      <xdr:row>7</xdr:row>
      <xdr:rowOff>698497</xdr:rowOff>
    </xdr:to>
    <xdr:sp macro="" textlink="">
      <xdr:nvSpPr>
        <xdr:cNvPr id="5" name="TextBox 4">
          <a:extLst>
            <a:ext uri="{FF2B5EF4-FFF2-40B4-BE49-F238E27FC236}">
              <a16:creationId xmlns:a16="http://schemas.microsoft.com/office/drawing/2014/main" id="{060D62D7-262A-4485-8E09-05B6892D30B1}"/>
            </a:ext>
          </a:extLst>
        </xdr:cNvPr>
        <xdr:cNvSpPr txBox="1"/>
      </xdr:nvSpPr>
      <xdr:spPr>
        <a:xfrm>
          <a:off x="539979" y="2388677"/>
          <a:ext cx="7047138" cy="7307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11.2:</a:t>
          </a:r>
          <a:r>
            <a:rPr lang="en-US" sz="1100" b="1" baseline="0"/>
            <a:t> Policy development and implementation</a:t>
          </a:r>
          <a:endParaRPr lang="en-US" sz="1100" b="1"/>
        </a:p>
        <a:p>
          <a:endParaRPr lang="en-US" sz="1100" b="1"/>
        </a:p>
        <a:p>
          <a:r>
            <a:rPr lang="en-US" sz="1100" b="0"/>
            <a:t>11.2.1</a:t>
          </a:r>
          <a:r>
            <a:rPr lang="en-US" sz="1100" b="0" baseline="0"/>
            <a:t> Implement One Health policies at the local levels</a:t>
          </a:r>
          <a:endParaRPr lang="en-US" sz="1100" b="0"/>
        </a:p>
      </xdr:txBody>
    </xdr:sp>
    <xdr:clientData/>
  </xdr:twoCellAnchor>
  <xdr:twoCellAnchor>
    <xdr:from>
      <xdr:col>2</xdr:col>
      <xdr:colOff>151041</xdr:colOff>
      <xdr:row>8</xdr:row>
      <xdr:rowOff>113951</xdr:rowOff>
    </xdr:from>
    <xdr:to>
      <xdr:col>2</xdr:col>
      <xdr:colOff>7198179</xdr:colOff>
      <xdr:row>9</xdr:row>
      <xdr:rowOff>277803</xdr:rowOff>
    </xdr:to>
    <xdr:sp macro="" textlink="">
      <xdr:nvSpPr>
        <xdr:cNvPr id="6" name="TextBox 5">
          <a:extLst>
            <a:ext uri="{FF2B5EF4-FFF2-40B4-BE49-F238E27FC236}">
              <a16:creationId xmlns:a16="http://schemas.microsoft.com/office/drawing/2014/main" id="{D8FDDA80-3FFA-4878-B231-9E174D61EF26}"/>
            </a:ext>
          </a:extLst>
        </xdr:cNvPr>
        <xdr:cNvSpPr txBox="1"/>
      </xdr:nvSpPr>
      <xdr:spPr>
        <a:xfrm>
          <a:off x="539979" y="3241326"/>
          <a:ext cx="7047138" cy="7432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11.3: Organizational</a:t>
          </a:r>
          <a:r>
            <a:rPr lang="en-US" sz="1100" b="1" baseline="0"/>
            <a:t> management</a:t>
          </a:r>
          <a:endParaRPr lang="en-US" sz="1100" b="1"/>
        </a:p>
        <a:p>
          <a:endParaRPr lang="en-US" sz="1100" b="1"/>
        </a:p>
        <a:p>
          <a:r>
            <a:rPr lang="en-US" sz="1100" b="0"/>
            <a:t>None</a:t>
          </a:r>
        </a:p>
      </xdr:txBody>
    </xdr:sp>
    <xdr:clientData/>
  </xdr:twoCellAnchor>
  <xdr:twoCellAnchor>
    <xdr:from>
      <xdr:col>2</xdr:col>
      <xdr:colOff>153763</xdr:colOff>
      <xdr:row>9</xdr:row>
      <xdr:rowOff>416738</xdr:rowOff>
    </xdr:from>
    <xdr:to>
      <xdr:col>2</xdr:col>
      <xdr:colOff>7200901</xdr:colOff>
      <xdr:row>11</xdr:row>
      <xdr:rowOff>119052</xdr:rowOff>
    </xdr:to>
    <xdr:sp macro="" textlink="">
      <xdr:nvSpPr>
        <xdr:cNvPr id="7" name="TextBox 6">
          <a:extLst>
            <a:ext uri="{FF2B5EF4-FFF2-40B4-BE49-F238E27FC236}">
              <a16:creationId xmlns:a16="http://schemas.microsoft.com/office/drawing/2014/main" id="{1ACEBAFC-DFDD-470B-BF4A-4A371FA78361}"/>
            </a:ext>
          </a:extLst>
        </xdr:cNvPr>
        <xdr:cNvSpPr txBox="1"/>
      </xdr:nvSpPr>
      <xdr:spPr>
        <a:xfrm>
          <a:off x="542701" y="4123551"/>
          <a:ext cx="7047138" cy="7183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11.4: Project management</a:t>
          </a:r>
        </a:p>
        <a:p>
          <a:endParaRPr lang="en-US" sz="1100" b="1"/>
        </a:p>
        <a:p>
          <a:r>
            <a:rPr lang="en-US" sz="1100" b="0"/>
            <a:t>11.4.1</a:t>
          </a:r>
          <a:r>
            <a:rPr lang="en-US" sz="1100" b="0" baseline="0"/>
            <a:t> Fulfill project requirements according to operational plan</a:t>
          </a:r>
          <a:endParaRPr lang="en-US" sz="1100" b="0"/>
        </a:p>
      </xdr:txBody>
    </xdr:sp>
    <xdr:clientData/>
  </xdr:twoCellAnchor>
  <xdr:twoCellAnchor>
    <xdr:from>
      <xdr:col>2</xdr:col>
      <xdr:colOff>153763</xdr:colOff>
      <xdr:row>11</xdr:row>
      <xdr:rowOff>275478</xdr:rowOff>
    </xdr:from>
    <xdr:to>
      <xdr:col>2</xdr:col>
      <xdr:colOff>7200901</xdr:colOff>
      <xdr:row>12</xdr:row>
      <xdr:rowOff>333369</xdr:rowOff>
    </xdr:to>
    <xdr:sp macro="" textlink="">
      <xdr:nvSpPr>
        <xdr:cNvPr id="8" name="TextBox 7">
          <a:extLst>
            <a:ext uri="{FF2B5EF4-FFF2-40B4-BE49-F238E27FC236}">
              <a16:creationId xmlns:a16="http://schemas.microsoft.com/office/drawing/2014/main" id="{EA3A446D-F725-4680-8618-46BCAACB91D0}"/>
            </a:ext>
          </a:extLst>
        </xdr:cNvPr>
        <xdr:cNvSpPr txBox="1"/>
      </xdr:nvSpPr>
      <xdr:spPr>
        <a:xfrm>
          <a:off x="542701" y="4998291"/>
          <a:ext cx="7047138" cy="7484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11.5: Finance and budgeting</a:t>
          </a:r>
        </a:p>
        <a:p>
          <a:endParaRPr lang="en-US" sz="1100" b="1"/>
        </a:p>
        <a:p>
          <a:r>
            <a:rPr lang="en-US" sz="1100" b="0"/>
            <a:t>None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151041</xdr:colOff>
      <xdr:row>4</xdr:row>
      <xdr:rowOff>164641</xdr:rowOff>
    </xdr:from>
    <xdr:to>
      <xdr:col>2</xdr:col>
      <xdr:colOff>7198179</xdr:colOff>
      <xdr:row>7</xdr:row>
      <xdr:rowOff>462635</xdr:rowOff>
    </xdr:to>
    <xdr:sp macro="" textlink="">
      <xdr:nvSpPr>
        <xdr:cNvPr id="2" name="TextBox 1">
          <a:extLst>
            <a:ext uri="{FF2B5EF4-FFF2-40B4-BE49-F238E27FC236}">
              <a16:creationId xmlns:a16="http://schemas.microsoft.com/office/drawing/2014/main" id="{19A774CB-DBA6-4C5B-9B3B-E989A3EE31CA}"/>
            </a:ext>
          </a:extLst>
        </xdr:cNvPr>
        <xdr:cNvSpPr txBox="1"/>
      </xdr:nvSpPr>
      <xdr:spPr>
        <a:xfrm>
          <a:off x="545648" y="1239605"/>
          <a:ext cx="7047138" cy="1869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12.1: Oral communication</a:t>
          </a:r>
          <a:r>
            <a:rPr lang="en-US" sz="1100" b="1" baseline="0"/>
            <a:t> to technical and non-technical audiences</a:t>
          </a:r>
        </a:p>
        <a:p>
          <a:endParaRPr lang="en-US" sz="1100" b="1" baseline="0"/>
        </a:p>
        <a:p>
          <a:r>
            <a:rPr lang="en-US" sz="1100" b="0" baseline="0"/>
            <a:t>12.1.1 </a:t>
          </a:r>
          <a:r>
            <a:rPr lang="en-US" sz="1100">
              <a:solidFill>
                <a:schemeClr val="dk1"/>
              </a:solidFill>
              <a:effectLst/>
              <a:latin typeface="+mn-lt"/>
              <a:ea typeface="+mn-ea"/>
              <a:cs typeface="+mn-cs"/>
            </a:rPr>
            <a:t>Explain the goal of a communication initiative to the intended target audience </a:t>
          </a:r>
          <a:endParaRPr lang="en-US" sz="1100" b="0" baseline="0"/>
        </a:p>
        <a:p>
          <a:endParaRPr lang="en-US" sz="1100" b="0" baseline="0"/>
        </a:p>
        <a:p>
          <a:r>
            <a:rPr lang="en-US" sz="1100" b="0" baseline="0"/>
            <a:t>12.1.2 </a:t>
          </a:r>
          <a:r>
            <a:rPr lang="en-US" sz="1100">
              <a:solidFill>
                <a:schemeClr val="dk1"/>
              </a:solidFill>
              <a:effectLst/>
              <a:latin typeface="+mn-lt"/>
              <a:ea typeface="+mn-ea"/>
              <a:cs typeface="+mn-cs"/>
            </a:rPr>
            <a:t>Communicate clearly,</a:t>
          </a:r>
          <a:r>
            <a:rPr lang="en-US" sz="1100" baseline="0">
              <a:solidFill>
                <a:schemeClr val="dk1"/>
              </a:solidFill>
              <a:effectLst/>
              <a:latin typeface="+mn-lt"/>
              <a:ea typeface="+mn-ea"/>
              <a:cs typeface="+mn-cs"/>
            </a:rPr>
            <a:t> calmly and respectfully</a:t>
          </a:r>
        </a:p>
        <a:p>
          <a:endParaRPr lang="en-US" sz="1100" b="0" baseline="0"/>
        </a:p>
        <a:p>
          <a:r>
            <a:rPr lang="en-US" sz="1100" b="0" baseline="0"/>
            <a:t>12.1.3 </a:t>
          </a:r>
          <a:r>
            <a:rPr lang="en-US" sz="1100">
              <a:solidFill>
                <a:schemeClr val="dk1"/>
              </a:solidFill>
              <a:effectLst/>
              <a:latin typeface="+mn-lt"/>
              <a:ea typeface="+mn-ea"/>
              <a:cs typeface="+mn-cs"/>
            </a:rPr>
            <a:t>Understand the importance of team communications and practice active listening </a:t>
          </a:r>
          <a:endParaRPr lang="en-US" sz="1100" b="0"/>
        </a:p>
        <a:p>
          <a:endParaRPr lang="en-US" sz="1100" b="1"/>
        </a:p>
        <a:p>
          <a:r>
            <a:rPr lang="en-US" sz="1100" b="0"/>
            <a:t>12.1.4</a:t>
          </a:r>
          <a:r>
            <a:rPr lang="en-US" sz="1100" b="0" baseline="0"/>
            <a:t> Prepare a presentation for oral communication, using the appropriate support and technological tools and adapting the language to target audience and context</a:t>
          </a:r>
          <a:endParaRPr lang="en-US" sz="1100" b="0"/>
        </a:p>
      </xdr:txBody>
    </xdr:sp>
    <xdr:clientData/>
  </xdr:twoCellAnchor>
  <xdr:twoCellAnchor>
    <xdr:from>
      <xdr:col>2</xdr:col>
      <xdr:colOff>153865</xdr:colOff>
      <xdr:row>8</xdr:row>
      <xdr:rowOff>100000</xdr:rowOff>
    </xdr:from>
    <xdr:to>
      <xdr:col>2</xdr:col>
      <xdr:colOff>7198179</xdr:colOff>
      <xdr:row>9</xdr:row>
      <xdr:rowOff>204105</xdr:rowOff>
    </xdr:to>
    <xdr:sp macro="" textlink="">
      <xdr:nvSpPr>
        <xdr:cNvPr id="4" name="TextBox 3">
          <a:extLst>
            <a:ext uri="{FF2B5EF4-FFF2-40B4-BE49-F238E27FC236}">
              <a16:creationId xmlns:a16="http://schemas.microsoft.com/office/drawing/2014/main" id="{313DD7C6-70A9-49C2-BF40-239D0E7D28BD}"/>
            </a:ext>
          </a:extLst>
        </xdr:cNvPr>
        <xdr:cNvSpPr txBox="1"/>
      </xdr:nvSpPr>
      <xdr:spPr>
        <a:xfrm>
          <a:off x="548472" y="3229643"/>
          <a:ext cx="7044314" cy="7300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Subdomain 12.2: Written communication to technical and</a:t>
          </a:r>
          <a:r>
            <a:rPr lang="en-US" sz="1100" b="1" baseline="0">
              <a:solidFill>
                <a:schemeClr val="dk1"/>
              </a:solidFill>
              <a:effectLst/>
              <a:latin typeface="+mn-lt"/>
              <a:ea typeface="+mn-ea"/>
              <a:cs typeface="+mn-cs"/>
            </a:rPr>
            <a:t> non-technical audiences</a:t>
          </a:r>
          <a:r>
            <a:rPr lang="en-US" sz="1100" b="1">
              <a:solidFill>
                <a:schemeClr val="dk1"/>
              </a:solidFill>
              <a:effectLst/>
              <a:latin typeface="+mn-lt"/>
              <a:ea typeface="+mn-ea"/>
              <a:cs typeface="+mn-cs"/>
            </a:rPr>
            <a:t> </a:t>
          </a:r>
        </a:p>
        <a:p>
          <a:endParaRPr lang="en-US">
            <a:effectLst/>
          </a:endParaRPr>
        </a:p>
        <a:p>
          <a:r>
            <a:rPr lang="en-US" sz="1100">
              <a:solidFill>
                <a:schemeClr val="dk1"/>
              </a:solidFill>
              <a:effectLst/>
              <a:latin typeface="+mn-lt"/>
              <a:ea typeface="+mn-ea"/>
              <a:cs typeface="+mn-cs"/>
            </a:rPr>
            <a:t>None</a:t>
          </a:r>
          <a:endParaRPr lang="en-US">
            <a:effectLst/>
          </a:endParaRPr>
        </a:p>
        <a:p>
          <a:endParaRPr lang="en-US" sz="1100" b="1"/>
        </a:p>
      </xdr:txBody>
    </xdr:sp>
    <xdr:clientData/>
  </xdr:twoCellAnchor>
  <xdr:twoCellAnchor>
    <xdr:from>
      <xdr:col>2</xdr:col>
      <xdr:colOff>145596</xdr:colOff>
      <xdr:row>9</xdr:row>
      <xdr:rowOff>338455</xdr:rowOff>
    </xdr:from>
    <xdr:to>
      <xdr:col>2</xdr:col>
      <xdr:colOff>7191863</xdr:colOff>
      <xdr:row>10</xdr:row>
      <xdr:rowOff>530677</xdr:rowOff>
    </xdr:to>
    <xdr:sp macro="" textlink="">
      <xdr:nvSpPr>
        <xdr:cNvPr id="5" name="TextBox 4">
          <a:extLst>
            <a:ext uri="{FF2B5EF4-FFF2-40B4-BE49-F238E27FC236}">
              <a16:creationId xmlns:a16="http://schemas.microsoft.com/office/drawing/2014/main" id="{1E97E5D4-2826-4914-83E7-142AE1342265}"/>
            </a:ext>
          </a:extLst>
        </xdr:cNvPr>
        <xdr:cNvSpPr txBox="1"/>
      </xdr:nvSpPr>
      <xdr:spPr>
        <a:xfrm>
          <a:off x="540203" y="4094026"/>
          <a:ext cx="7046267" cy="6956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12.3:</a:t>
          </a:r>
          <a:r>
            <a:rPr lang="en-US" sz="1100" b="1" baseline="0"/>
            <a:t> Risk communication</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12.3.1 Describe the role of risk communication in the risk analysis process </a:t>
          </a:r>
        </a:p>
        <a:p>
          <a:endParaRPr lang="en-US" sz="1100" b="1"/>
        </a:p>
      </xdr:txBody>
    </xdr:sp>
    <xdr:clientData/>
  </xdr:twoCellAnchor>
  <xdr:twoCellAnchor>
    <xdr:from>
      <xdr:col>2</xdr:col>
      <xdr:colOff>126651</xdr:colOff>
      <xdr:row>10</xdr:row>
      <xdr:rowOff>652299</xdr:rowOff>
    </xdr:from>
    <xdr:to>
      <xdr:col>2</xdr:col>
      <xdr:colOff>7170965</xdr:colOff>
      <xdr:row>11</xdr:row>
      <xdr:rowOff>653138</xdr:rowOff>
    </xdr:to>
    <xdr:sp macro="" textlink="">
      <xdr:nvSpPr>
        <xdr:cNvPr id="9" name="TextBox 8">
          <a:extLst>
            <a:ext uri="{FF2B5EF4-FFF2-40B4-BE49-F238E27FC236}">
              <a16:creationId xmlns:a16="http://schemas.microsoft.com/office/drawing/2014/main" id="{AFA3D2FF-A773-446C-BAFF-7FFAAC39992F}"/>
            </a:ext>
          </a:extLst>
        </xdr:cNvPr>
        <xdr:cNvSpPr txBox="1"/>
      </xdr:nvSpPr>
      <xdr:spPr>
        <a:xfrm>
          <a:off x="521258" y="4911335"/>
          <a:ext cx="7044314" cy="7016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Subdomain 12.4:</a:t>
          </a:r>
          <a:r>
            <a:rPr lang="en-US" sz="1100" b="1" baseline="0">
              <a:solidFill>
                <a:schemeClr val="dk1"/>
              </a:solidFill>
              <a:effectLst/>
              <a:latin typeface="+mn-lt"/>
              <a:ea typeface="+mn-ea"/>
              <a:cs typeface="+mn-cs"/>
            </a:rPr>
            <a:t> Communication for events</a:t>
          </a:r>
          <a:endParaRPr lang="en-US" sz="1100" b="1">
            <a:solidFill>
              <a:schemeClr val="dk1"/>
            </a:solidFill>
            <a:effectLst/>
            <a:latin typeface="+mn-lt"/>
            <a:ea typeface="+mn-ea"/>
            <a:cs typeface="+mn-cs"/>
          </a:endParaRPr>
        </a:p>
        <a:p>
          <a:endParaRPr lang="en-US">
            <a:effectLst/>
          </a:endParaRPr>
        </a:p>
        <a:p>
          <a:r>
            <a:rPr lang="en-US" sz="1100">
              <a:solidFill>
                <a:schemeClr val="dk1"/>
              </a:solidFill>
              <a:effectLst/>
              <a:latin typeface="+mn-lt"/>
              <a:ea typeface="+mn-ea"/>
              <a:cs typeface="+mn-cs"/>
            </a:rPr>
            <a:t>None</a:t>
          </a:r>
          <a:endParaRPr lang="en-US">
            <a:effectLst/>
          </a:endParaRPr>
        </a:p>
        <a:p>
          <a:endParaRPr lang="en-US" sz="1100" b="1"/>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151041</xdr:colOff>
      <xdr:row>4</xdr:row>
      <xdr:rowOff>130099</xdr:rowOff>
    </xdr:from>
    <xdr:to>
      <xdr:col>2</xdr:col>
      <xdr:colOff>7198179</xdr:colOff>
      <xdr:row>6</xdr:row>
      <xdr:rowOff>42810</xdr:rowOff>
    </xdr:to>
    <xdr:sp macro="" textlink="">
      <xdr:nvSpPr>
        <xdr:cNvPr id="2" name="TextBox 1">
          <a:extLst>
            <a:ext uri="{FF2B5EF4-FFF2-40B4-BE49-F238E27FC236}">
              <a16:creationId xmlns:a16="http://schemas.microsoft.com/office/drawing/2014/main" id="{2B63C9E7-5202-44A0-9AEB-3CACC14F37AC}"/>
            </a:ext>
          </a:extLst>
        </xdr:cNvPr>
        <xdr:cNvSpPr txBox="1"/>
      </xdr:nvSpPr>
      <xdr:spPr>
        <a:xfrm>
          <a:off x="541674" y="1205675"/>
          <a:ext cx="7047138" cy="7260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13.1: Learning processes</a:t>
          </a:r>
        </a:p>
        <a:p>
          <a:endParaRPr lang="en-US" sz="1100" b="1"/>
        </a:p>
        <a:p>
          <a:pPr lvl="0"/>
          <a:r>
            <a:rPr lang="en-US" sz="1100">
              <a:solidFill>
                <a:schemeClr val="dk1"/>
              </a:solidFill>
              <a:effectLst/>
              <a:latin typeface="+mn-lt"/>
              <a:ea typeface="+mn-ea"/>
              <a:cs typeface="+mn-cs"/>
            </a:rPr>
            <a:t>None</a:t>
          </a:r>
        </a:p>
      </xdr:txBody>
    </xdr:sp>
    <xdr:clientData/>
  </xdr:twoCellAnchor>
  <xdr:twoCellAnchor>
    <xdr:from>
      <xdr:col>2</xdr:col>
      <xdr:colOff>156392</xdr:colOff>
      <xdr:row>6</xdr:row>
      <xdr:rowOff>132564</xdr:rowOff>
    </xdr:from>
    <xdr:to>
      <xdr:col>2</xdr:col>
      <xdr:colOff>7203530</xdr:colOff>
      <xdr:row>7</xdr:row>
      <xdr:rowOff>123080</xdr:rowOff>
    </xdr:to>
    <xdr:sp macro="" textlink="">
      <xdr:nvSpPr>
        <xdr:cNvPr id="5" name="TextBox 4">
          <a:extLst>
            <a:ext uri="{FF2B5EF4-FFF2-40B4-BE49-F238E27FC236}">
              <a16:creationId xmlns:a16="http://schemas.microsoft.com/office/drawing/2014/main" id="{3C23F3B0-30DF-45E8-9D0D-64517C26379D}"/>
            </a:ext>
          </a:extLst>
        </xdr:cNvPr>
        <xdr:cNvSpPr txBox="1"/>
      </xdr:nvSpPr>
      <xdr:spPr>
        <a:xfrm>
          <a:off x="547025" y="2021511"/>
          <a:ext cx="7047138" cy="6861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13.2: Learning needs assessment,</a:t>
          </a:r>
          <a:r>
            <a:rPr lang="en-US" sz="1100" b="1" baseline="0"/>
            <a:t> training program design, development and assessment </a:t>
          </a:r>
          <a:endParaRPr lang="en-US" sz="1100" b="1"/>
        </a:p>
        <a:p>
          <a:endParaRPr lang="en-US" sz="1100" b="1"/>
        </a:p>
        <a:p>
          <a:pPr lvl="0"/>
          <a:r>
            <a:rPr lang="en-US" sz="1100">
              <a:solidFill>
                <a:schemeClr val="dk1"/>
              </a:solidFill>
              <a:effectLst/>
              <a:latin typeface="+mn-lt"/>
              <a:ea typeface="+mn-ea"/>
              <a:cs typeface="+mn-cs"/>
            </a:rPr>
            <a:t>13.2.1 Participate in the learning evaluation process </a:t>
          </a:r>
        </a:p>
      </xdr:txBody>
    </xdr:sp>
    <xdr:clientData/>
  </xdr:twoCellAnchor>
  <xdr:twoCellAnchor>
    <xdr:from>
      <xdr:col>2</xdr:col>
      <xdr:colOff>151041</xdr:colOff>
      <xdr:row>7</xdr:row>
      <xdr:rowOff>203808</xdr:rowOff>
    </xdr:from>
    <xdr:to>
      <xdr:col>2</xdr:col>
      <xdr:colOff>7198179</xdr:colOff>
      <xdr:row>8</xdr:row>
      <xdr:rowOff>250369</xdr:rowOff>
    </xdr:to>
    <xdr:sp macro="" textlink="">
      <xdr:nvSpPr>
        <xdr:cNvPr id="6" name="TextBox 5">
          <a:extLst>
            <a:ext uri="{FF2B5EF4-FFF2-40B4-BE49-F238E27FC236}">
              <a16:creationId xmlns:a16="http://schemas.microsoft.com/office/drawing/2014/main" id="{3F895987-161C-44E1-884D-FC380B408F10}"/>
            </a:ext>
          </a:extLst>
        </xdr:cNvPr>
        <xdr:cNvSpPr txBox="1"/>
      </xdr:nvSpPr>
      <xdr:spPr>
        <a:xfrm>
          <a:off x="541674" y="2788401"/>
          <a:ext cx="7047138" cy="6993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13.3: Training delivery</a:t>
          </a:r>
        </a:p>
        <a:p>
          <a:endParaRPr lang="en-US" sz="1100" b="1"/>
        </a:p>
        <a:p>
          <a:pPr lvl="0"/>
          <a:r>
            <a:rPr lang="en-US" sz="1100">
              <a:solidFill>
                <a:schemeClr val="dk1"/>
              </a:solidFill>
              <a:effectLst/>
              <a:latin typeface="+mn-lt"/>
              <a:ea typeface="+mn-ea"/>
              <a:cs typeface="+mn-cs"/>
            </a:rPr>
            <a:t>None</a:t>
          </a:r>
        </a:p>
      </xdr:txBody>
    </xdr:sp>
    <xdr:clientData/>
  </xdr:twoCellAnchor>
  <xdr:twoCellAnchor>
    <xdr:from>
      <xdr:col>2</xdr:col>
      <xdr:colOff>158845</xdr:colOff>
      <xdr:row>8</xdr:row>
      <xdr:rowOff>349705</xdr:rowOff>
    </xdr:from>
    <xdr:to>
      <xdr:col>2</xdr:col>
      <xdr:colOff>7215508</xdr:colOff>
      <xdr:row>10</xdr:row>
      <xdr:rowOff>33108</xdr:rowOff>
    </xdr:to>
    <xdr:sp macro="" textlink="">
      <xdr:nvSpPr>
        <xdr:cNvPr id="7" name="TextBox 6">
          <a:extLst>
            <a:ext uri="{FF2B5EF4-FFF2-40B4-BE49-F238E27FC236}">
              <a16:creationId xmlns:a16="http://schemas.microsoft.com/office/drawing/2014/main" id="{BEF7113D-9AE9-4892-A887-0216D0F258FF}"/>
            </a:ext>
          </a:extLst>
        </xdr:cNvPr>
        <xdr:cNvSpPr txBox="1"/>
      </xdr:nvSpPr>
      <xdr:spPr>
        <a:xfrm>
          <a:off x="549478" y="3587135"/>
          <a:ext cx="7056663" cy="6894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13.4: eLearning</a:t>
          </a:r>
        </a:p>
        <a:p>
          <a:endParaRPr lang="en-US" sz="1100" b="1"/>
        </a:p>
        <a:p>
          <a:pPr lvl="0"/>
          <a:r>
            <a:rPr lang="en-US" sz="1100">
              <a:solidFill>
                <a:schemeClr val="dk1"/>
              </a:solidFill>
              <a:effectLst/>
              <a:latin typeface="+mn-lt"/>
              <a:ea typeface="+mn-ea"/>
              <a:cs typeface="+mn-cs"/>
            </a:rPr>
            <a:t>None</a:t>
          </a:r>
        </a:p>
      </xdr:txBody>
    </xdr:sp>
    <xdr:clientData/>
  </xdr:twoCellAnchor>
  <xdr:twoCellAnchor>
    <xdr:from>
      <xdr:col>2</xdr:col>
      <xdr:colOff>161021</xdr:colOff>
      <xdr:row>10</xdr:row>
      <xdr:rowOff>159013</xdr:rowOff>
    </xdr:from>
    <xdr:to>
      <xdr:col>2</xdr:col>
      <xdr:colOff>7227209</xdr:colOff>
      <xdr:row>11</xdr:row>
      <xdr:rowOff>377631</xdr:rowOff>
    </xdr:to>
    <xdr:sp macro="" textlink="">
      <xdr:nvSpPr>
        <xdr:cNvPr id="8" name="TextBox 7">
          <a:extLst>
            <a:ext uri="{FF2B5EF4-FFF2-40B4-BE49-F238E27FC236}">
              <a16:creationId xmlns:a16="http://schemas.microsoft.com/office/drawing/2014/main" id="{79430A65-E243-40ED-A683-5F73FB6D672A}"/>
            </a:ext>
          </a:extLst>
        </xdr:cNvPr>
        <xdr:cNvSpPr txBox="1"/>
      </xdr:nvSpPr>
      <xdr:spPr>
        <a:xfrm>
          <a:off x="551654" y="4402455"/>
          <a:ext cx="7066188" cy="7216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13.5:</a:t>
          </a:r>
          <a:r>
            <a:rPr lang="en-US" sz="1100" b="1" baseline="0"/>
            <a:t> Quality and risk management in training</a:t>
          </a:r>
          <a:endParaRPr lang="en-US" sz="1100" b="1"/>
        </a:p>
        <a:p>
          <a:endParaRPr lang="en-US" sz="1100" b="1"/>
        </a:p>
        <a:p>
          <a:pPr lvl="0"/>
          <a:r>
            <a:rPr lang="en-US" sz="1100">
              <a:solidFill>
                <a:schemeClr val="dk1"/>
              </a:solidFill>
              <a:effectLst/>
              <a:latin typeface="+mn-lt"/>
              <a:ea typeface="+mn-ea"/>
              <a:cs typeface="+mn-cs"/>
            </a:rPr>
            <a:t>None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151041</xdr:colOff>
      <xdr:row>4</xdr:row>
      <xdr:rowOff>129410</xdr:rowOff>
    </xdr:from>
    <xdr:to>
      <xdr:col>2</xdr:col>
      <xdr:colOff>7198179</xdr:colOff>
      <xdr:row>7</xdr:row>
      <xdr:rowOff>394394</xdr:rowOff>
    </xdr:to>
    <xdr:sp macro="" textlink="">
      <xdr:nvSpPr>
        <xdr:cNvPr id="2" name="TextBox 1">
          <a:extLst>
            <a:ext uri="{FF2B5EF4-FFF2-40B4-BE49-F238E27FC236}">
              <a16:creationId xmlns:a16="http://schemas.microsoft.com/office/drawing/2014/main" id="{06EDA280-9036-4D02-ADB4-20DB7BBEE13B}"/>
            </a:ext>
          </a:extLst>
        </xdr:cNvPr>
        <xdr:cNvSpPr txBox="1"/>
      </xdr:nvSpPr>
      <xdr:spPr>
        <a:xfrm>
          <a:off x="545436" y="1200973"/>
          <a:ext cx="7047138" cy="20583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14.1:</a:t>
          </a:r>
          <a:r>
            <a:rPr lang="en-US" sz="1100" b="1" baseline="0"/>
            <a:t> Ethics and its role related to health</a:t>
          </a:r>
          <a:endParaRPr lang="en-US" sz="1100" b="1"/>
        </a:p>
        <a:p>
          <a:endParaRPr lang="en-US" sz="1100" b="1"/>
        </a:p>
        <a:p>
          <a:pPr lvl="0"/>
          <a:r>
            <a:rPr lang="en-US" sz="1100">
              <a:solidFill>
                <a:schemeClr val="dk1"/>
              </a:solidFill>
              <a:effectLst/>
              <a:latin typeface="+mn-lt"/>
              <a:ea typeface="+mn-ea"/>
              <a:cs typeface="+mn-cs"/>
            </a:rPr>
            <a:t>14.1.1 Apply principles of professional ethics </a:t>
          </a:r>
        </a:p>
        <a:p>
          <a:pPr lvl="0"/>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14.1.2 Define professional ethics and the legal frameworks related to humans,</a:t>
          </a:r>
          <a:r>
            <a:rPr lang="en-US" sz="1100" baseline="0">
              <a:solidFill>
                <a:schemeClr val="dk1"/>
              </a:solidFill>
              <a:effectLst/>
              <a:latin typeface="+mn-lt"/>
              <a:ea typeface="+mn-ea"/>
              <a:cs typeface="+mn-cs"/>
            </a:rPr>
            <a:t> animals, and the environment</a:t>
          </a:r>
        </a:p>
        <a:p>
          <a:pPr lvl="0"/>
          <a:endParaRPr lang="en-US" sz="1100" baseline="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14.1.3 Define ethics in relation to human, animal and environmental health management, welfare and biosafety and biosecurity procedures</a:t>
          </a:r>
        </a:p>
        <a:p>
          <a:pPr lvl="0"/>
          <a:endParaRPr lang="en-US" sz="1100" baseline="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14.1.4 Define ethics in relation to teaching, mentoring and research including confidentiality, data integrity and protection, data and information sharing and conflicts of interest</a:t>
          </a:r>
          <a:endParaRPr lang="en-US" sz="1100">
            <a:solidFill>
              <a:schemeClr val="dk1"/>
            </a:solidFill>
            <a:effectLst/>
            <a:latin typeface="+mn-lt"/>
            <a:ea typeface="+mn-ea"/>
            <a:cs typeface="+mn-cs"/>
          </a:endParaRPr>
        </a:p>
      </xdr:txBody>
    </xdr:sp>
    <xdr:clientData/>
  </xdr:twoCellAnchor>
  <xdr:twoCellAnchor>
    <xdr:from>
      <xdr:col>2</xdr:col>
      <xdr:colOff>153865</xdr:colOff>
      <xdr:row>8</xdr:row>
      <xdr:rowOff>601503</xdr:rowOff>
    </xdr:from>
    <xdr:to>
      <xdr:col>2</xdr:col>
      <xdr:colOff>7198179</xdr:colOff>
      <xdr:row>9</xdr:row>
      <xdr:rowOff>773912</xdr:rowOff>
    </xdr:to>
    <xdr:sp macro="" textlink="">
      <xdr:nvSpPr>
        <xdr:cNvPr id="3" name="TextBox 2">
          <a:extLst>
            <a:ext uri="{FF2B5EF4-FFF2-40B4-BE49-F238E27FC236}">
              <a16:creationId xmlns:a16="http://schemas.microsoft.com/office/drawing/2014/main" id="{C53E3A4A-3432-4AEA-8551-BCA5C1A539A2}"/>
            </a:ext>
          </a:extLst>
        </xdr:cNvPr>
        <xdr:cNvSpPr txBox="1"/>
      </xdr:nvSpPr>
      <xdr:spPr>
        <a:xfrm>
          <a:off x="548260" y="4232909"/>
          <a:ext cx="7044314" cy="1236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14.3: Moral</a:t>
          </a:r>
          <a:r>
            <a:rPr lang="en-US" sz="1100" b="1" baseline="0"/>
            <a:t> challenges related to ethical decision-making</a:t>
          </a:r>
          <a:endParaRPr lang="en-US" sz="1100" b="1"/>
        </a:p>
        <a:p>
          <a:endParaRPr lang="en-US" sz="1100" b="1"/>
        </a:p>
        <a:p>
          <a:pPr lvl="0"/>
          <a:r>
            <a:rPr lang="en-US" sz="1100">
              <a:solidFill>
                <a:schemeClr val="dk1"/>
              </a:solidFill>
              <a:effectLst/>
              <a:latin typeface="+mn-lt"/>
              <a:ea typeface="+mn-ea"/>
              <a:cs typeface="+mn-cs"/>
            </a:rPr>
            <a:t>14.3.1 List the stakeholders involved in making ethical decisions: Patients (human and animals); Clients (human); Civil society </a:t>
          </a:r>
        </a:p>
        <a:p>
          <a:endParaRPr lang="en-US" sz="1100" b="1"/>
        </a:p>
        <a:p>
          <a:r>
            <a:rPr lang="en-US" sz="1100" b="0"/>
            <a:t>14.3.2 Describe conflict resolution methods at the community level</a:t>
          </a:r>
        </a:p>
      </xdr:txBody>
    </xdr:sp>
    <xdr:clientData/>
  </xdr:twoCellAnchor>
  <xdr:twoCellAnchor>
    <xdr:from>
      <xdr:col>2</xdr:col>
      <xdr:colOff>145810</xdr:colOff>
      <xdr:row>10</xdr:row>
      <xdr:rowOff>108046</xdr:rowOff>
    </xdr:from>
    <xdr:to>
      <xdr:col>2</xdr:col>
      <xdr:colOff>7217512</xdr:colOff>
      <xdr:row>11</xdr:row>
      <xdr:rowOff>706939</xdr:rowOff>
    </xdr:to>
    <xdr:sp macro="" textlink="">
      <xdr:nvSpPr>
        <xdr:cNvPr id="4" name="TextBox 3">
          <a:extLst>
            <a:ext uri="{FF2B5EF4-FFF2-40B4-BE49-F238E27FC236}">
              <a16:creationId xmlns:a16="http://schemas.microsoft.com/office/drawing/2014/main" id="{4087ECA2-FF82-4E30-960D-780BB708EE70}"/>
            </a:ext>
          </a:extLst>
        </xdr:cNvPr>
        <xdr:cNvSpPr txBox="1"/>
      </xdr:nvSpPr>
      <xdr:spPr>
        <a:xfrm>
          <a:off x="540205" y="5599804"/>
          <a:ext cx="7071702" cy="13653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14.4:</a:t>
          </a:r>
          <a:r>
            <a:rPr lang="en-US" sz="1100" b="1" baseline="0"/>
            <a:t> Legal and regulatory ethical frameworks</a:t>
          </a:r>
          <a:endParaRPr lang="en-US" sz="1100" b="1"/>
        </a:p>
        <a:p>
          <a:endParaRPr lang="en-US" sz="1100" b="1"/>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14.4.1 Adhere to prevailing ethics by-laws, standards and best practices</a:t>
          </a:r>
        </a:p>
        <a:p>
          <a:pPr marL="0" marR="0" lvl="0" indent="0" defTabSz="914400" eaLnBrk="1" fontAlgn="auto" latinLnBrk="0" hangingPunct="1">
            <a:lnSpc>
              <a:spcPct val="100000"/>
            </a:lnSpc>
            <a:spcBef>
              <a:spcPts val="0"/>
            </a:spcBef>
            <a:spcAft>
              <a:spcPts val="0"/>
            </a:spcAft>
            <a:buClrTx/>
            <a:buSzTx/>
            <a:buFontTx/>
            <a:buNone/>
            <a:tabLst/>
            <a:defRPr/>
          </a:pPr>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14.4.2</a:t>
          </a:r>
          <a:r>
            <a:rPr lang="en-US" sz="1100" baseline="0">
              <a:solidFill>
                <a:schemeClr val="dk1"/>
              </a:solidFill>
              <a:effectLst/>
              <a:latin typeface="+mn-lt"/>
              <a:ea typeface="+mn-ea"/>
              <a:cs typeface="+mn-cs"/>
            </a:rPr>
            <a:t> Report ethics incidents up the chain of command</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14.4.3 Adhere to by-laws and regulations governing professional behaviour</a:t>
          </a:r>
          <a:endParaRPr lang="en-US" sz="1100" b="1"/>
        </a:p>
      </xdr:txBody>
    </xdr:sp>
    <xdr:clientData/>
  </xdr:twoCellAnchor>
  <xdr:twoCellAnchor>
    <xdr:from>
      <xdr:col>2</xdr:col>
      <xdr:colOff>151041</xdr:colOff>
      <xdr:row>7</xdr:row>
      <xdr:rowOff>509063</xdr:rowOff>
    </xdr:from>
    <xdr:to>
      <xdr:col>2</xdr:col>
      <xdr:colOff>7198179</xdr:colOff>
      <xdr:row>8</xdr:row>
      <xdr:rowOff>476250</xdr:rowOff>
    </xdr:to>
    <xdr:sp macro="" textlink="">
      <xdr:nvSpPr>
        <xdr:cNvPr id="5" name="TextBox 4">
          <a:extLst>
            <a:ext uri="{FF2B5EF4-FFF2-40B4-BE49-F238E27FC236}">
              <a16:creationId xmlns:a16="http://schemas.microsoft.com/office/drawing/2014/main" id="{EE93F134-451F-47D5-8F9F-8B7F2B8024F3}"/>
            </a:ext>
          </a:extLst>
        </xdr:cNvPr>
        <xdr:cNvSpPr txBox="1"/>
      </xdr:nvSpPr>
      <xdr:spPr>
        <a:xfrm>
          <a:off x="545436" y="3374005"/>
          <a:ext cx="7047138" cy="7336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14.2:</a:t>
          </a:r>
          <a:r>
            <a:rPr lang="en-US" sz="1100" b="1" baseline="0"/>
            <a:t> Ethical issues related to field epidemiology</a:t>
          </a:r>
        </a:p>
        <a:p>
          <a:endParaRPr lang="en-US" sz="1100" b="1"/>
        </a:p>
        <a:p>
          <a:pPr lvl="0"/>
          <a:r>
            <a:rPr lang="en-US" sz="1100">
              <a:solidFill>
                <a:schemeClr val="dk1"/>
              </a:solidFill>
              <a:effectLst/>
              <a:latin typeface="+mn-lt"/>
              <a:ea typeface="+mn-ea"/>
              <a:cs typeface="+mn-cs"/>
            </a:rPr>
            <a:t>None</a:t>
          </a:r>
        </a:p>
      </xdr:txBody>
    </xdr:sp>
    <xdr:clientData/>
  </xdr:twoCellAnchor>
  <xdr:twoCellAnchor>
    <xdr:from>
      <xdr:col>2</xdr:col>
      <xdr:colOff>134788</xdr:colOff>
      <xdr:row>12</xdr:row>
      <xdr:rowOff>57027</xdr:rowOff>
    </xdr:from>
    <xdr:to>
      <xdr:col>2</xdr:col>
      <xdr:colOff>7206490</xdr:colOff>
      <xdr:row>15</xdr:row>
      <xdr:rowOff>43181</xdr:rowOff>
    </xdr:to>
    <xdr:sp macro="" textlink="">
      <xdr:nvSpPr>
        <xdr:cNvPr id="7" name="TextBox 6">
          <a:extLst>
            <a:ext uri="{FF2B5EF4-FFF2-40B4-BE49-F238E27FC236}">
              <a16:creationId xmlns:a16="http://schemas.microsoft.com/office/drawing/2014/main" id="{27CD2933-E959-493A-BB17-83F354DAE2C5}"/>
            </a:ext>
          </a:extLst>
        </xdr:cNvPr>
        <xdr:cNvSpPr txBox="1"/>
      </xdr:nvSpPr>
      <xdr:spPr>
        <a:xfrm>
          <a:off x="529183" y="7089157"/>
          <a:ext cx="7071702" cy="10279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Subdomain 14.5:</a:t>
          </a:r>
          <a:r>
            <a:rPr lang="en-US" sz="1100" b="1" baseline="0"/>
            <a:t> The five step process for ethical decision-making </a:t>
          </a:r>
        </a:p>
        <a:p>
          <a:endParaRPr lang="en-US" sz="1100" b="1" baseline="0"/>
        </a:p>
        <a:p>
          <a:r>
            <a:rPr lang="en-US" sz="1100" b="0" baseline="0"/>
            <a:t>14.5.1 Explain the five step process for ethical decision-making: a) Assess the situation; b) Assess your values and potential conflicts; c) List options and the pros and cons of each; d) Assess options in relation to autonomy (respect) and justice (fairness); e) Review options and select one </a:t>
          </a:r>
          <a:endParaRPr lang="en-US" sz="1100" b="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4BAC961-03C7-479C-9B7A-489CC8FF585B}" name="Table284914" displayName="Table284914" ref="P5:Q10" totalsRowShown="0" headerRowDxfId="97" dataDxfId="95" headerRowBorderDxfId="96" tableBorderDxfId="94" totalsRowBorderDxfId="93">
  <autoFilter ref="P5:Q10" xr:uid="{2FAD500F-622B-4804-9D11-C43F23F0BD14}"/>
  <tableColumns count="2">
    <tableColumn id="1" xr3:uid="{428A241D-84F1-4734-9D6F-FC9B24256731}" name="Scale" dataDxfId="92"/>
    <tableColumn id="2" xr3:uid="{3A492871-162D-419E-88FB-18989CF64476}" name="Column1" dataDxfId="9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F24D1-A09F-4A45-9FF5-8C4EE5A96F29}" name="Table28" displayName="Table28" ref="Y5:Z10" totalsRowShown="0" headerRowDxfId="90" dataDxfId="88" headerRowBorderDxfId="89" tableBorderDxfId="87" totalsRowBorderDxfId="86">
  <autoFilter ref="Y5:Z10" xr:uid="{2FAD500F-622B-4804-9D11-C43F23F0BD14}"/>
  <tableColumns count="2">
    <tableColumn id="1" xr3:uid="{E462C607-4AEC-4BA7-B502-F6F0A23410FA}" name="Scale" dataDxfId="85"/>
    <tableColumn id="2" xr3:uid="{369D55C6-1225-49F5-B1F4-2418FE5B2866}" name="Column1" dataDxfId="8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89B9C8-88CE-4845-9436-6366C0B61501}" name="Table283" displayName="Table283" ref="Y5:Z10" totalsRowShown="0" headerRowDxfId="83" dataDxfId="81" headerRowBorderDxfId="82" tableBorderDxfId="80" totalsRowBorderDxfId="79">
  <autoFilter ref="Y5:Z10" xr:uid="{2FAD500F-622B-4804-9D11-C43F23F0BD14}"/>
  <tableColumns count="2">
    <tableColumn id="1" xr3:uid="{5F9B1CC9-139F-40D9-BED1-21B3D4EFD5CB}" name="Scale" dataDxfId="78"/>
    <tableColumn id="2" xr3:uid="{6EC4130C-F4B7-4EC5-BC3B-BE9B2FB9136B}" name="Column1" dataDxfId="7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6158FE-60ED-4651-8F75-01252D1B7F53}" name="Table284" displayName="Table284" ref="R5:S10" totalsRowShown="0" headerRowDxfId="76" dataDxfId="74" headerRowBorderDxfId="75" tableBorderDxfId="73" totalsRowBorderDxfId="72">
  <autoFilter ref="R5:S10" xr:uid="{2FAD500F-622B-4804-9D11-C43F23F0BD14}"/>
  <tableColumns count="2">
    <tableColumn id="1" xr3:uid="{1D2858EE-4B17-462E-84B6-4D8C40268DC8}" name="Scale" dataDxfId="71"/>
    <tableColumn id="2" xr3:uid="{1C6241BB-462B-4185-AC25-F61A339B50B6}" name="Column1" dataDxfId="7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982068-D0C7-48C1-AB0A-75CAD9A9484C}" name="Table285" displayName="Table285" ref="S5:T10" totalsRowShown="0" headerRowDxfId="69" dataDxfId="67" headerRowBorderDxfId="68" tableBorderDxfId="66" totalsRowBorderDxfId="65">
  <autoFilter ref="S5:T10" xr:uid="{2FAD500F-622B-4804-9D11-C43F23F0BD14}"/>
  <tableColumns count="2">
    <tableColumn id="1" xr3:uid="{63EEBE43-C2D6-4AA9-AF58-1D7658B32A8B}" name="Scale" dataDxfId="64"/>
    <tableColumn id="2" xr3:uid="{AEAE4096-5691-497C-8B20-90BAFAFE62F7}" name="Column1" dataDxfId="6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2966668-7AE4-40C1-A5EB-321BB05BF1B3}" name="Table286" displayName="Table286" ref="V5:W10" totalsRowShown="0" headerRowDxfId="62" dataDxfId="60" headerRowBorderDxfId="61" tableBorderDxfId="59" totalsRowBorderDxfId="58">
  <autoFilter ref="V5:W10" xr:uid="{2FAD500F-622B-4804-9D11-C43F23F0BD14}"/>
  <tableColumns count="2">
    <tableColumn id="1" xr3:uid="{18FE2216-D01D-402B-B569-32A5063C9B91}" name="Scale" dataDxfId="57"/>
    <tableColumn id="2" xr3:uid="{4C40BEF8-7F73-47A0-9179-E5FA20B32F97}" name="Column1" dataDxfId="56"/>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DB4C962-570C-48D7-A7F2-E82729018390}" name="Table2837" displayName="Table2837" ref="Y5:Z10" totalsRowShown="0" headerRowDxfId="55" dataDxfId="53" headerRowBorderDxfId="54" tableBorderDxfId="52" totalsRowBorderDxfId="51">
  <autoFilter ref="Y5:Z10" xr:uid="{2FAD500F-622B-4804-9D11-C43F23F0BD14}"/>
  <tableColumns count="2">
    <tableColumn id="1" xr3:uid="{346BF9C0-C017-4965-A29B-0DD591BAB891}" name="Scale" dataDxfId="50"/>
    <tableColumn id="2" xr3:uid="{87F236AE-5DD9-454D-AA16-0E70C5E02A27}" name="Column1" dataDxfId="4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EED5F3B-99EB-42A1-8D74-EAF0006E9000}" name="Table28378" displayName="Table28378" ref="W5:X10" totalsRowShown="0" headerRowDxfId="48" dataDxfId="46" headerRowBorderDxfId="47" tableBorderDxfId="45" totalsRowBorderDxfId="44">
  <autoFilter ref="W5:X10" xr:uid="{2FAD500F-622B-4804-9D11-C43F23F0BD14}"/>
  <tableColumns count="2">
    <tableColumn id="1" xr3:uid="{A4BA9933-B275-4081-A072-DFC4CA916931}" name="Scale" dataDxfId="43"/>
    <tableColumn id="2" xr3:uid="{DE4C5C9E-A958-4322-87E2-C0B857F6AA41}" name="Column1" dataDxfId="4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61B7D3D-B00D-4A93-B299-0B3F991C5E52}" name="Table2849" displayName="Table2849" ref="N5:O9" totalsRowShown="0" headerRowDxfId="41" dataDxfId="39" headerRowBorderDxfId="40" tableBorderDxfId="38" totalsRowBorderDxfId="37">
  <autoFilter ref="N5:O9" xr:uid="{2FAD500F-622B-4804-9D11-C43F23F0BD14}"/>
  <tableColumns count="2">
    <tableColumn id="1" xr3:uid="{CCDED15C-7BC7-46F6-A636-015BB56B6B5A}" name="Scale" dataDxfId="36"/>
    <tableColumn id="2" xr3:uid="{DAFEF511-06F7-457F-B3A4-DBFFD43F8540}" name="Column1" dataDxfId="3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667D6D8-214B-4B16-BE99-DCF9B68787D9}" name="Table283781015" displayName="Table283781015" ref="AI5:AJ10" totalsRowShown="0" headerRowDxfId="34" dataDxfId="32" headerRowBorderDxfId="33" tableBorderDxfId="31" totalsRowBorderDxfId="30">
  <autoFilter ref="AI5:AJ10" xr:uid="{2FAD500F-622B-4804-9D11-C43F23F0BD14}"/>
  <tableColumns count="2">
    <tableColumn id="1" xr3:uid="{F6EEA0AE-7E5D-44AC-A6F9-28D2036D0E2B}" name="Scale" dataDxfId="29"/>
    <tableColumn id="2" xr3:uid="{936E3B50-E24C-46E3-BE1D-DF3B9E601A95}" name="Column1" dataDxfId="2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79935FB-E31B-46BB-B708-762DE09BCFBE}" name="Table2837810" displayName="Table2837810" ref="AO5:AP10" totalsRowShown="0" headerRowDxfId="27" dataDxfId="25" headerRowBorderDxfId="26" tableBorderDxfId="24" totalsRowBorderDxfId="23">
  <autoFilter ref="AO5:AP10" xr:uid="{2FAD500F-622B-4804-9D11-C43F23F0BD14}"/>
  <tableColumns count="2">
    <tableColumn id="1" xr3:uid="{5D72C860-0C43-467D-8C1E-BBBA84A40AEA}" name="Scale" dataDxfId="22"/>
    <tableColumn id="2" xr3:uid="{76677E11-6E23-496D-A9E8-4540807524AD}" name="Column1" dataDxfId="2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E7B0C96-C230-48B0-98A4-A4A5E9597C1C}" name="Table28611" displayName="Table28611" ref="T5:U10" totalsRowShown="0" headerRowDxfId="20" dataDxfId="18" headerRowBorderDxfId="19" tableBorderDxfId="17" totalsRowBorderDxfId="16">
  <autoFilter ref="T5:U10" xr:uid="{2FAD500F-622B-4804-9D11-C43F23F0BD14}"/>
  <tableColumns count="2">
    <tableColumn id="1" xr3:uid="{BDD29AB1-DC46-4FFC-B241-44A389B1ED09}" name="Scale" dataDxfId="15"/>
    <tableColumn id="2" xr3:uid="{D77FF22D-9D4A-4C4B-B2DA-CFC5A4CDFD35}" name="Column1" dataDxfId="14"/>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C26C206-0238-4EF3-B545-29E8038CFDD2}" name="Table283781012" displayName="Table283781012" ref="AH5:AI10" totalsRowShown="0" headerRowDxfId="13" dataDxfId="11" headerRowBorderDxfId="12" tableBorderDxfId="10" totalsRowBorderDxfId="9">
  <autoFilter ref="AH5:AI10" xr:uid="{2FAD500F-622B-4804-9D11-C43F23F0BD14}"/>
  <tableColumns count="2">
    <tableColumn id="1" xr3:uid="{A6606762-69D1-4086-9AA3-B5D45E62CA2A}" name="Scale" dataDxfId="8"/>
    <tableColumn id="2" xr3:uid="{EE676202-8D48-44C5-A03E-559025B756A3}" name="Column1" dataDxfId="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B2576B0-EB11-42CF-87E6-46D56748B2D7}" name="Table283713" displayName="Table283713" ref="R5:S10" totalsRowShown="0" headerRowDxfId="6" dataDxfId="4" headerRowBorderDxfId="5" tableBorderDxfId="3" totalsRowBorderDxfId="2">
  <autoFilter ref="R5:S10" xr:uid="{2FAD500F-622B-4804-9D11-C43F23F0BD14}"/>
  <tableColumns count="2">
    <tableColumn id="1" xr3:uid="{F4C0E3C6-1258-4F6C-8722-0C8347C1ADEF}" name="Scale" dataDxfId="1"/>
    <tableColumn id="2" xr3:uid="{130802A5-BE73-455D-BA2D-04349CA0E7A5}"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86FA-0D1D-420A-9BB9-F36F1ABD60D8}">
  <dimension ref="A1:AF183"/>
  <sheetViews>
    <sheetView tabSelected="1" topLeftCell="C9" zoomScale="81" zoomScaleNormal="100" workbookViewId="0">
      <selection activeCell="R7" sqref="R7"/>
    </sheetView>
  </sheetViews>
  <sheetFormatPr defaultRowHeight="15.75"/>
  <cols>
    <col min="1" max="1" width="3.5" style="1" customWidth="1"/>
    <col min="16" max="16" width="3.5" style="1" customWidth="1"/>
    <col min="17" max="17" width="3" style="1" customWidth="1"/>
    <col min="18" max="18" width="65" customWidth="1"/>
    <col min="19" max="19" width="2.625" style="1" customWidth="1"/>
    <col min="20" max="32" width="8.625" style="1"/>
  </cols>
  <sheetData>
    <row r="1" spans="2:18">
      <c r="B1" s="1"/>
      <c r="C1" s="1"/>
      <c r="D1" s="1"/>
      <c r="E1" s="1"/>
      <c r="F1" s="1"/>
      <c r="G1" s="1"/>
      <c r="H1" s="1"/>
      <c r="I1" s="1"/>
      <c r="J1" s="1"/>
      <c r="K1" s="1"/>
      <c r="L1" s="1"/>
      <c r="M1" s="1"/>
      <c r="N1" s="1"/>
      <c r="O1" s="1"/>
      <c r="R1" s="1"/>
    </row>
    <row r="2" spans="2:18" s="1" customFormat="1" ht="99.75" customHeight="1" thickBot="1">
      <c r="B2" s="95"/>
      <c r="C2" s="95"/>
      <c r="D2" s="95"/>
      <c r="E2" s="95"/>
      <c r="F2" s="95"/>
      <c r="G2" s="95"/>
      <c r="H2" s="95"/>
      <c r="I2" s="95"/>
      <c r="J2" s="95"/>
      <c r="K2" s="95"/>
      <c r="L2" s="95"/>
      <c r="M2" s="95"/>
      <c r="N2" s="95"/>
      <c r="O2" s="95"/>
      <c r="P2" s="95"/>
      <c r="Q2" s="95"/>
      <c r="R2" s="95"/>
    </row>
    <row r="3" spans="2:18">
      <c r="B3" s="89" t="s">
        <v>0</v>
      </c>
      <c r="C3" s="90"/>
      <c r="D3" s="90"/>
      <c r="E3" s="90"/>
      <c r="F3" s="90"/>
      <c r="G3" s="90"/>
      <c r="H3" s="90"/>
      <c r="I3" s="90"/>
      <c r="J3" s="90"/>
      <c r="K3" s="90"/>
      <c r="L3" s="90"/>
      <c r="M3" s="90"/>
      <c r="N3" s="90"/>
      <c r="O3" s="91"/>
      <c r="P3" s="14"/>
      <c r="R3" s="19" t="s">
        <v>1</v>
      </c>
    </row>
    <row r="4" spans="2:18" ht="15.6" customHeight="1">
      <c r="B4" s="92" t="s">
        <v>405</v>
      </c>
      <c r="C4" s="93"/>
      <c r="D4" s="93"/>
      <c r="E4" s="93"/>
      <c r="F4" s="93"/>
      <c r="G4" s="93"/>
      <c r="H4" s="93"/>
      <c r="I4" s="93"/>
      <c r="J4" s="93"/>
      <c r="K4" s="93"/>
      <c r="L4" s="93"/>
      <c r="M4" s="93"/>
      <c r="N4" s="93"/>
      <c r="O4" s="94"/>
      <c r="P4" s="15"/>
      <c r="R4" s="17"/>
    </row>
    <row r="5" spans="2:18">
      <c r="B5" s="92"/>
      <c r="C5" s="93"/>
      <c r="D5" s="93"/>
      <c r="E5" s="93"/>
      <c r="F5" s="93"/>
      <c r="G5" s="93"/>
      <c r="H5" s="93"/>
      <c r="I5" s="93"/>
      <c r="J5" s="93"/>
      <c r="K5" s="93"/>
      <c r="L5" s="93"/>
      <c r="M5" s="93"/>
      <c r="N5" s="93"/>
      <c r="O5" s="94"/>
      <c r="P5" s="15"/>
      <c r="R5" s="17" t="s">
        <v>2</v>
      </c>
    </row>
    <row r="6" spans="2:18">
      <c r="B6" s="92"/>
      <c r="C6" s="93"/>
      <c r="D6" s="93"/>
      <c r="E6" s="93"/>
      <c r="F6" s="93"/>
      <c r="G6" s="93"/>
      <c r="H6" s="93"/>
      <c r="I6" s="93"/>
      <c r="J6" s="93"/>
      <c r="K6" s="93"/>
      <c r="L6" s="93"/>
      <c r="M6" s="93"/>
      <c r="N6" s="93"/>
      <c r="O6" s="94"/>
      <c r="P6" s="15"/>
      <c r="R6" s="17" t="s">
        <v>3</v>
      </c>
    </row>
    <row r="7" spans="2:18">
      <c r="B7" s="92"/>
      <c r="C7" s="93"/>
      <c r="D7" s="93"/>
      <c r="E7" s="93"/>
      <c r="F7" s="93"/>
      <c r="G7" s="93"/>
      <c r="H7" s="93"/>
      <c r="I7" s="93"/>
      <c r="J7" s="93"/>
      <c r="K7" s="93"/>
      <c r="L7" s="93"/>
      <c r="M7" s="93"/>
      <c r="N7" s="93"/>
      <c r="O7" s="94"/>
      <c r="P7" s="15"/>
      <c r="R7" s="17" t="s">
        <v>4</v>
      </c>
    </row>
    <row r="8" spans="2:18">
      <c r="B8" s="92"/>
      <c r="C8" s="93"/>
      <c r="D8" s="93"/>
      <c r="E8" s="93"/>
      <c r="F8" s="93"/>
      <c r="G8" s="93"/>
      <c r="H8" s="93"/>
      <c r="I8" s="93"/>
      <c r="J8" s="93"/>
      <c r="K8" s="93"/>
      <c r="L8" s="93"/>
      <c r="M8" s="93"/>
      <c r="N8" s="93"/>
      <c r="O8" s="94"/>
      <c r="P8" s="15"/>
      <c r="R8" s="17" t="s">
        <v>5</v>
      </c>
    </row>
    <row r="9" spans="2:18">
      <c r="B9" s="92"/>
      <c r="C9" s="93"/>
      <c r="D9" s="93"/>
      <c r="E9" s="93"/>
      <c r="F9" s="93"/>
      <c r="G9" s="93"/>
      <c r="H9" s="93"/>
      <c r="I9" s="93"/>
      <c r="J9" s="93"/>
      <c r="K9" s="93"/>
      <c r="L9" s="93"/>
      <c r="M9" s="93"/>
      <c r="N9" s="93"/>
      <c r="O9" s="94"/>
      <c r="P9" s="15"/>
      <c r="R9" s="17" t="s">
        <v>6</v>
      </c>
    </row>
    <row r="10" spans="2:18">
      <c r="B10" s="92"/>
      <c r="C10" s="93"/>
      <c r="D10" s="93"/>
      <c r="E10" s="93"/>
      <c r="F10" s="93"/>
      <c r="G10" s="93"/>
      <c r="H10" s="93"/>
      <c r="I10" s="93"/>
      <c r="J10" s="93"/>
      <c r="K10" s="93"/>
      <c r="L10" s="93"/>
      <c r="M10" s="93"/>
      <c r="N10" s="93"/>
      <c r="O10" s="94"/>
      <c r="P10" s="15"/>
      <c r="R10" s="17" t="s">
        <v>7</v>
      </c>
    </row>
    <row r="11" spans="2:18">
      <c r="B11" s="92"/>
      <c r="C11" s="93"/>
      <c r="D11" s="93"/>
      <c r="E11" s="93"/>
      <c r="F11" s="93"/>
      <c r="G11" s="93"/>
      <c r="H11" s="93"/>
      <c r="I11" s="93"/>
      <c r="J11" s="93"/>
      <c r="K11" s="93"/>
      <c r="L11" s="93"/>
      <c r="M11" s="93"/>
      <c r="N11" s="93"/>
      <c r="O11" s="94"/>
      <c r="P11" s="15"/>
      <c r="R11" s="17" t="s">
        <v>8</v>
      </c>
    </row>
    <row r="12" spans="2:18">
      <c r="B12" s="92"/>
      <c r="C12" s="93"/>
      <c r="D12" s="93"/>
      <c r="E12" s="93"/>
      <c r="F12" s="93"/>
      <c r="G12" s="93"/>
      <c r="H12" s="93"/>
      <c r="I12" s="93"/>
      <c r="J12" s="93"/>
      <c r="K12" s="93"/>
      <c r="L12" s="93"/>
      <c r="M12" s="93"/>
      <c r="N12" s="93"/>
      <c r="O12" s="94"/>
      <c r="P12" s="15"/>
      <c r="R12" s="17" t="s">
        <v>9</v>
      </c>
    </row>
    <row r="13" spans="2:18">
      <c r="B13" s="92"/>
      <c r="C13" s="93"/>
      <c r="D13" s="93"/>
      <c r="E13" s="93"/>
      <c r="F13" s="93"/>
      <c r="G13" s="93"/>
      <c r="H13" s="93"/>
      <c r="I13" s="93"/>
      <c r="J13" s="93"/>
      <c r="K13" s="93"/>
      <c r="L13" s="93"/>
      <c r="M13" s="93"/>
      <c r="N13" s="93"/>
      <c r="O13" s="94"/>
      <c r="P13" s="15"/>
      <c r="R13" s="17" t="s">
        <v>10</v>
      </c>
    </row>
    <row r="14" spans="2:18" ht="16.5" thickBot="1">
      <c r="B14" s="92"/>
      <c r="C14" s="93"/>
      <c r="D14" s="93"/>
      <c r="E14" s="93"/>
      <c r="F14" s="93"/>
      <c r="G14" s="93"/>
      <c r="H14" s="93"/>
      <c r="I14" s="93"/>
      <c r="J14" s="93"/>
      <c r="K14" s="93"/>
      <c r="L14" s="93"/>
      <c r="M14" s="93"/>
      <c r="N14" s="93"/>
      <c r="O14" s="94"/>
      <c r="P14" s="15"/>
      <c r="R14" s="18" t="s">
        <v>395</v>
      </c>
    </row>
    <row r="15" spans="2:18">
      <c r="B15" s="92"/>
      <c r="C15" s="93"/>
      <c r="D15" s="93"/>
      <c r="E15" s="93"/>
      <c r="F15" s="93"/>
      <c r="G15" s="93"/>
      <c r="H15" s="93"/>
      <c r="I15" s="93"/>
      <c r="J15" s="93"/>
      <c r="K15" s="93"/>
      <c r="L15" s="93"/>
      <c r="M15" s="93"/>
      <c r="N15" s="93"/>
      <c r="O15" s="94"/>
      <c r="P15" s="15"/>
      <c r="R15" s="1"/>
    </row>
    <row r="16" spans="2:18" ht="16.5" thickBot="1">
      <c r="B16" s="92"/>
      <c r="C16" s="93"/>
      <c r="D16" s="93"/>
      <c r="E16" s="93"/>
      <c r="F16" s="93"/>
      <c r="G16" s="93"/>
      <c r="H16" s="93"/>
      <c r="I16" s="93"/>
      <c r="J16" s="93"/>
      <c r="K16" s="93"/>
      <c r="L16" s="93"/>
      <c r="M16" s="93"/>
      <c r="N16" s="93"/>
      <c r="O16" s="94"/>
      <c r="P16" s="15"/>
      <c r="R16" s="1"/>
    </row>
    <row r="17" spans="2:18">
      <c r="B17" s="92"/>
      <c r="C17" s="93"/>
      <c r="D17" s="93"/>
      <c r="E17" s="93"/>
      <c r="F17" s="93"/>
      <c r="G17" s="93"/>
      <c r="H17" s="93"/>
      <c r="I17" s="93"/>
      <c r="J17" s="93"/>
      <c r="K17" s="93"/>
      <c r="L17" s="93"/>
      <c r="M17" s="93"/>
      <c r="N17" s="93"/>
      <c r="O17" s="94"/>
      <c r="P17" s="15"/>
      <c r="R17" s="19" t="s">
        <v>197</v>
      </c>
    </row>
    <row r="18" spans="2:18">
      <c r="B18" s="92"/>
      <c r="C18" s="93"/>
      <c r="D18" s="93"/>
      <c r="E18" s="93"/>
      <c r="F18" s="93"/>
      <c r="G18" s="93"/>
      <c r="H18" s="93"/>
      <c r="I18" s="93"/>
      <c r="J18" s="93"/>
      <c r="K18" s="93"/>
      <c r="L18" s="93"/>
      <c r="M18" s="93"/>
      <c r="N18" s="93"/>
      <c r="O18" s="94"/>
      <c r="P18" s="15"/>
      <c r="R18" s="17"/>
    </row>
    <row r="19" spans="2:18">
      <c r="B19" s="92"/>
      <c r="C19" s="93"/>
      <c r="D19" s="93"/>
      <c r="E19" s="93"/>
      <c r="F19" s="93"/>
      <c r="G19" s="93"/>
      <c r="H19" s="93"/>
      <c r="I19" s="93"/>
      <c r="J19" s="93"/>
      <c r="K19" s="93"/>
      <c r="L19" s="93"/>
      <c r="M19" s="93"/>
      <c r="N19" s="93"/>
      <c r="O19" s="94"/>
      <c r="P19" s="15"/>
      <c r="R19" s="17" t="s">
        <v>198</v>
      </c>
    </row>
    <row r="20" spans="2:18">
      <c r="B20" s="92"/>
      <c r="C20" s="93"/>
      <c r="D20" s="93"/>
      <c r="E20" s="93"/>
      <c r="F20" s="93"/>
      <c r="G20" s="93"/>
      <c r="H20" s="93"/>
      <c r="I20" s="93"/>
      <c r="J20" s="93"/>
      <c r="K20" s="93"/>
      <c r="L20" s="93"/>
      <c r="M20" s="93"/>
      <c r="N20" s="93"/>
      <c r="O20" s="94"/>
      <c r="P20" s="15"/>
      <c r="R20" s="17" t="s">
        <v>199</v>
      </c>
    </row>
    <row r="21" spans="2:18">
      <c r="B21" s="92"/>
      <c r="C21" s="93"/>
      <c r="D21" s="93"/>
      <c r="E21" s="93"/>
      <c r="F21" s="93"/>
      <c r="G21" s="93"/>
      <c r="H21" s="93"/>
      <c r="I21" s="93"/>
      <c r="J21" s="93"/>
      <c r="K21" s="93"/>
      <c r="L21" s="93"/>
      <c r="M21" s="93"/>
      <c r="N21" s="93"/>
      <c r="O21" s="94"/>
      <c r="P21" s="15"/>
      <c r="R21" s="17" t="s">
        <v>200</v>
      </c>
    </row>
    <row r="22" spans="2:18" ht="16.5" thickBot="1">
      <c r="B22" s="92"/>
      <c r="C22" s="93"/>
      <c r="D22" s="93"/>
      <c r="E22" s="93"/>
      <c r="F22" s="93"/>
      <c r="G22" s="93"/>
      <c r="H22" s="93"/>
      <c r="I22" s="93"/>
      <c r="J22" s="93"/>
      <c r="K22" s="93"/>
      <c r="L22" s="93"/>
      <c r="M22" s="93"/>
      <c r="N22" s="93"/>
      <c r="O22" s="94"/>
      <c r="P22" s="15"/>
      <c r="R22" s="18" t="s">
        <v>201</v>
      </c>
    </row>
    <row r="23" spans="2:18">
      <c r="B23" s="92"/>
      <c r="C23" s="93"/>
      <c r="D23" s="93"/>
      <c r="E23" s="93"/>
      <c r="F23" s="93"/>
      <c r="G23" s="93"/>
      <c r="H23" s="93"/>
      <c r="I23" s="93"/>
      <c r="J23" s="93"/>
      <c r="K23" s="93"/>
      <c r="L23" s="93"/>
      <c r="M23" s="93"/>
      <c r="N23" s="93"/>
      <c r="O23" s="94"/>
      <c r="P23" s="15"/>
      <c r="R23" s="1"/>
    </row>
    <row r="24" spans="2:18">
      <c r="B24" s="92"/>
      <c r="C24" s="93"/>
      <c r="D24" s="93"/>
      <c r="E24" s="93"/>
      <c r="F24" s="93"/>
      <c r="G24" s="93"/>
      <c r="H24" s="93"/>
      <c r="I24" s="93"/>
      <c r="J24" s="93"/>
      <c r="K24" s="93"/>
      <c r="L24" s="93"/>
      <c r="M24" s="93"/>
      <c r="N24" s="93"/>
      <c r="O24" s="94"/>
      <c r="P24" s="15"/>
      <c r="R24" s="1"/>
    </row>
    <row r="25" spans="2:18">
      <c r="B25" s="92"/>
      <c r="C25" s="93"/>
      <c r="D25" s="93"/>
      <c r="E25" s="93"/>
      <c r="F25" s="93"/>
      <c r="G25" s="93"/>
      <c r="H25" s="93"/>
      <c r="I25" s="93"/>
      <c r="J25" s="93"/>
      <c r="K25" s="93"/>
      <c r="L25" s="93"/>
      <c r="M25" s="93"/>
      <c r="N25" s="93"/>
      <c r="O25" s="94"/>
      <c r="P25" s="15"/>
      <c r="R25" s="1"/>
    </row>
    <row r="26" spans="2:18">
      <c r="B26" s="92"/>
      <c r="C26" s="93"/>
      <c r="D26" s="93"/>
      <c r="E26" s="93"/>
      <c r="F26" s="93"/>
      <c r="G26" s="93"/>
      <c r="H26" s="93"/>
      <c r="I26" s="93"/>
      <c r="J26" s="93"/>
      <c r="K26" s="93"/>
      <c r="L26" s="93"/>
      <c r="M26" s="93"/>
      <c r="N26" s="93"/>
      <c r="O26" s="94"/>
      <c r="P26" s="15"/>
      <c r="R26" s="1"/>
    </row>
    <row r="27" spans="2:18">
      <c r="B27" s="92"/>
      <c r="C27" s="93"/>
      <c r="D27" s="93"/>
      <c r="E27" s="93"/>
      <c r="F27" s="93"/>
      <c r="G27" s="93"/>
      <c r="H27" s="93"/>
      <c r="I27" s="93"/>
      <c r="J27" s="93"/>
      <c r="K27" s="93"/>
      <c r="L27" s="93"/>
      <c r="M27" s="93"/>
      <c r="N27" s="93"/>
      <c r="O27" s="94"/>
      <c r="P27" s="15"/>
      <c r="R27" s="1"/>
    </row>
    <row r="28" spans="2:18">
      <c r="B28" s="92"/>
      <c r="C28" s="93"/>
      <c r="D28" s="93"/>
      <c r="E28" s="93"/>
      <c r="F28" s="93"/>
      <c r="G28" s="93"/>
      <c r="H28" s="93"/>
      <c r="I28" s="93"/>
      <c r="J28" s="93"/>
      <c r="K28" s="93"/>
      <c r="L28" s="93"/>
      <c r="M28" s="93"/>
      <c r="N28" s="93"/>
      <c r="O28" s="94"/>
      <c r="P28" s="15"/>
      <c r="R28" s="1"/>
    </row>
    <row r="29" spans="2:18">
      <c r="B29" s="92"/>
      <c r="C29" s="93"/>
      <c r="D29" s="93"/>
      <c r="E29" s="93"/>
      <c r="F29" s="93"/>
      <c r="G29" s="93"/>
      <c r="H29" s="93"/>
      <c r="I29" s="93"/>
      <c r="J29" s="93"/>
      <c r="K29" s="93"/>
      <c r="L29" s="93"/>
      <c r="M29" s="93"/>
      <c r="N29" s="93"/>
      <c r="O29" s="94"/>
      <c r="P29" s="15"/>
      <c r="R29" s="1"/>
    </row>
    <row r="30" spans="2:18">
      <c r="B30" s="92"/>
      <c r="C30" s="93"/>
      <c r="D30" s="93"/>
      <c r="E30" s="93"/>
      <c r="F30" s="93"/>
      <c r="G30" s="93"/>
      <c r="H30" s="93"/>
      <c r="I30" s="93"/>
      <c r="J30" s="93"/>
      <c r="K30" s="93"/>
      <c r="L30" s="93"/>
      <c r="M30" s="93"/>
      <c r="N30" s="93"/>
      <c r="O30" s="94"/>
      <c r="P30" s="15"/>
      <c r="R30" s="1"/>
    </row>
    <row r="31" spans="2:18">
      <c r="B31" s="92"/>
      <c r="C31" s="93"/>
      <c r="D31" s="93"/>
      <c r="E31" s="93"/>
      <c r="F31" s="93"/>
      <c r="G31" s="93"/>
      <c r="H31" s="93"/>
      <c r="I31" s="93"/>
      <c r="J31" s="93"/>
      <c r="K31" s="93"/>
      <c r="L31" s="93"/>
      <c r="M31" s="93"/>
      <c r="N31" s="93"/>
      <c r="O31" s="94"/>
      <c r="P31" s="15"/>
      <c r="R31" s="1"/>
    </row>
    <row r="32" spans="2:18" ht="36" customHeight="1">
      <c r="B32" s="92"/>
      <c r="C32" s="93"/>
      <c r="D32" s="93"/>
      <c r="E32" s="93"/>
      <c r="F32" s="93"/>
      <c r="G32" s="93"/>
      <c r="H32" s="93"/>
      <c r="I32" s="93"/>
      <c r="J32" s="93"/>
      <c r="K32" s="93"/>
      <c r="L32" s="93"/>
      <c r="M32" s="93"/>
      <c r="N32" s="93"/>
      <c r="O32" s="94"/>
      <c r="P32" s="15"/>
      <c r="R32" s="1"/>
    </row>
    <row r="33" spans="2:18" ht="38.25" customHeight="1">
      <c r="B33" s="92"/>
      <c r="C33" s="93"/>
      <c r="D33" s="93"/>
      <c r="E33" s="93"/>
      <c r="F33" s="93"/>
      <c r="G33" s="93"/>
      <c r="H33" s="93"/>
      <c r="I33" s="93"/>
      <c r="J33" s="93"/>
      <c r="K33" s="93"/>
      <c r="L33" s="93"/>
      <c r="M33" s="93"/>
      <c r="N33" s="93"/>
      <c r="O33" s="94"/>
      <c r="P33" s="15"/>
      <c r="R33" s="1"/>
    </row>
    <row r="34" spans="2:18">
      <c r="B34" s="92"/>
      <c r="C34" s="93"/>
      <c r="D34" s="93"/>
      <c r="E34" s="93"/>
      <c r="F34" s="93"/>
      <c r="G34" s="93"/>
      <c r="H34" s="93"/>
      <c r="I34" s="93"/>
      <c r="J34" s="93"/>
      <c r="K34" s="93"/>
      <c r="L34" s="93"/>
      <c r="M34" s="93"/>
      <c r="N34" s="93"/>
      <c r="O34" s="94"/>
      <c r="P34" s="15"/>
      <c r="R34" s="1"/>
    </row>
    <row r="35" spans="2:18">
      <c r="B35" s="92"/>
      <c r="C35" s="93"/>
      <c r="D35" s="93"/>
      <c r="E35" s="93"/>
      <c r="F35" s="93"/>
      <c r="G35" s="93"/>
      <c r="H35" s="93"/>
      <c r="I35" s="93"/>
      <c r="J35" s="93"/>
      <c r="K35" s="93"/>
      <c r="L35" s="93"/>
      <c r="M35" s="93"/>
      <c r="N35" s="93"/>
      <c r="O35" s="94"/>
      <c r="P35" s="15"/>
      <c r="R35" s="1"/>
    </row>
    <row r="36" spans="2:18">
      <c r="B36" s="92"/>
      <c r="C36" s="93"/>
      <c r="D36" s="93"/>
      <c r="E36" s="93"/>
      <c r="F36" s="93"/>
      <c r="G36" s="93"/>
      <c r="H36" s="93"/>
      <c r="I36" s="93"/>
      <c r="J36" s="93"/>
      <c r="K36" s="93"/>
      <c r="L36" s="93"/>
      <c r="M36" s="93"/>
      <c r="N36" s="93"/>
      <c r="O36" s="94"/>
      <c r="P36" s="15"/>
      <c r="R36" s="1"/>
    </row>
    <row r="37" spans="2:18">
      <c r="B37" s="92"/>
      <c r="C37" s="93"/>
      <c r="D37" s="93"/>
      <c r="E37" s="93"/>
      <c r="F37" s="93"/>
      <c r="G37" s="93"/>
      <c r="H37" s="93"/>
      <c r="I37" s="93"/>
      <c r="J37" s="93"/>
      <c r="K37" s="93"/>
      <c r="L37" s="93"/>
      <c r="M37" s="93"/>
      <c r="N37" s="93"/>
      <c r="O37" s="94"/>
      <c r="P37" s="15"/>
      <c r="R37" s="1"/>
    </row>
    <row r="38" spans="2:18">
      <c r="B38" s="92"/>
      <c r="C38" s="93"/>
      <c r="D38" s="93"/>
      <c r="E38" s="93"/>
      <c r="F38" s="93"/>
      <c r="G38" s="93"/>
      <c r="H38" s="93"/>
      <c r="I38" s="93"/>
      <c r="J38" s="93"/>
      <c r="K38" s="93"/>
      <c r="L38" s="93"/>
      <c r="M38" s="93"/>
      <c r="N38" s="93"/>
      <c r="O38" s="94"/>
      <c r="P38" s="15"/>
      <c r="R38" s="1"/>
    </row>
    <row r="39" spans="2:18">
      <c r="B39" s="92"/>
      <c r="C39" s="93"/>
      <c r="D39" s="93"/>
      <c r="E39" s="93"/>
      <c r="F39" s="93"/>
      <c r="G39" s="93"/>
      <c r="H39" s="93"/>
      <c r="I39" s="93"/>
      <c r="J39" s="93"/>
      <c r="K39" s="93"/>
      <c r="L39" s="93"/>
      <c r="M39" s="93"/>
      <c r="N39" s="93"/>
      <c r="O39" s="94"/>
      <c r="P39" s="15"/>
      <c r="R39" s="1"/>
    </row>
    <row r="40" spans="2:18">
      <c r="B40" s="92"/>
      <c r="C40" s="93"/>
      <c r="D40" s="93"/>
      <c r="E40" s="93"/>
      <c r="F40" s="93"/>
      <c r="G40" s="93"/>
      <c r="H40" s="93"/>
      <c r="I40" s="93"/>
      <c r="J40" s="93"/>
      <c r="K40" s="93"/>
      <c r="L40" s="93"/>
      <c r="M40" s="93"/>
      <c r="N40" s="93"/>
      <c r="O40" s="94"/>
      <c r="P40" s="15"/>
      <c r="R40" s="1"/>
    </row>
    <row r="41" spans="2:18">
      <c r="B41" s="92"/>
      <c r="C41" s="93"/>
      <c r="D41" s="93"/>
      <c r="E41" s="93"/>
      <c r="F41" s="93"/>
      <c r="G41" s="93"/>
      <c r="H41" s="93"/>
      <c r="I41" s="93"/>
      <c r="J41" s="93"/>
      <c r="K41" s="93"/>
      <c r="L41" s="93"/>
      <c r="M41" s="93"/>
      <c r="N41" s="93"/>
      <c r="O41" s="94"/>
      <c r="P41" s="15"/>
      <c r="R41" s="1"/>
    </row>
    <row r="42" spans="2:18">
      <c r="B42" s="92"/>
      <c r="C42" s="93"/>
      <c r="D42" s="93"/>
      <c r="E42" s="93"/>
      <c r="F42" s="93"/>
      <c r="G42" s="93"/>
      <c r="H42" s="93"/>
      <c r="I42" s="93"/>
      <c r="J42" s="93"/>
      <c r="K42" s="93"/>
      <c r="L42" s="93"/>
      <c r="M42" s="93"/>
      <c r="N42" s="93"/>
      <c r="O42" s="94"/>
      <c r="P42" s="15"/>
      <c r="R42" s="1"/>
    </row>
    <row r="43" spans="2:18">
      <c r="B43" s="92"/>
      <c r="C43" s="93"/>
      <c r="D43" s="93"/>
      <c r="E43" s="93"/>
      <c r="F43" s="93"/>
      <c r="G43" s="93"/>
      <c r="H43" s="93"/>
      <c r="I43" s="93"/>
      <c r="J43" s="93"/>
      <c r="K43" s="93"/>
      <c r="L43" s="93"/>
      <c r="M43" s="93"/>
      <c r="N43" s="93"/>
      <c r="O43" s="94"/>
      <c r="P43" s="15"/>
      <c r="R43" s="1"/>
    </row>
    <row r="44" spans="2:18">
      <c r="B44" s="92"/>
      <c r="C44" s="93"/>
      <c r="D44" s="93"/>
      <c r="E44" s="93"/>
      <c r="F44" s="93"/>
      <c r="G44" s="93"/>
      <c r="H44" s="93"/>
      <c r="I44" s="93"/>
      <c r="J44" s="93"/>
      <c r="K44" s="93"/>
      <c r="L44" s="93"/>
      <c r="M44" s="93"/>
      <c r="N44" s="93"/>
      <c r="O44" s="94"/>
      <c r="P44" s="15"/>
      <c r="R44" s="1"/>
    </row>
    <row r="45" spans="2:18">
      <c r="B45" s="92"/>
      <c r="C45" s="93"/>
      <c r="D45" s="93"/>
      <c r="E45" s="93"/>
      <c r="F45" s="93"/>
      <c r="G45" s="93"/>
      <c r="H45" s="93"/>
      <c r="I45" s="93"/>
      <c r="J45" s="93"/>
      <c r="K45" s="93"/>
      <c r="L45" s="93"/>
      <c r="M45" s="93"/>
      <c r="N45" s="93"/>
      <c r="O45" s="94"/>
      <c r="P45" s="15"/>
      <c r="R45" s="1"/>
    </row>
    <row r="46" spans="2:18">
      <c r="B46" s="92"/>
      <c r="C46" s="93"/>
      <c r="D46" s="93"/>
      <c r="E46" s="93"/>
      <c r="F46" s="93"/>
      <c r="G46" s="93"/>
      <c r="H46" s="93"/>
      <c r="I46" s="93"/>
      <c r="J46" s="93"/>
      <c r="K46" s="93"/>
      <c r="L46" s="93"/>
      <c r="M46" s="93"/>
      <c r="N46" s="93"/>
      <c r="O46" s="94"/>
      <c r="P46" s="15"/>
      <c r="R46" s="1"/>
    </row>
    <row r="47" spans="2:18">
      <c r="B47" s="92"/>
      <c r="C47" s="93"/>
      <c r="D47" s="93"/>
      <c r="E47" s="93"/>
      <c r="F47" s="93"/>
      <c r="G47" s="93"/>
      <c r="H47" s="93"/>
      <c r="I47" s="93"/>
      <c r="J47" s="93"/>
      <c r="K47" s="93"/>
      <c r="L47" s="93"/>
      <c r="M47" s="93"/>
      <c r="N47" s="93"/>
      <c r="O47" s="94"/>
      <c r="P47" s="15"/>
      <c r="R47" s="1"/>
    </row>
    <row r="48" spans="2:18">
      <c r="B48" s="92"/>
      <c r="C48" s="93"/>
      <c r="D48" s="93"/>
      <c r="E48" s="93"/>
      <c r="F48" s="93"/>
      <c r="G48" s="93"/>
      <c r="H48" s="93"/>
      <c r="I48" s="93"/>
      <c r="J48" s="93"/>
      <c r="K48" s="93"/>
      <c r="L48" s="93"/>
      <c r="M48" s="93"/>
      <c r="N48" s="93"/>
      <c r="O48" s="94"/>
      <c r="P48" s="15"/>
      <c r="R48" s="1"/>
    </row>
    <row r="49" spans="1:18">
      <c r="B49" s="92"/>
      <c r="C49" s="93"/>
      <c r="D49" s="93"/>
      <c r="E49" s="93"/>
      <c r="F49" s="93"/>
      <c r="G49" s="93"/>
      <c r="H49" s="93"/>
      <c r="I49" s="93"/>
      <c r="J49" s="93"/>
      <c r="K49" s="93"/>
      <c r="L49" s="93"/>
      <c r="M49" s="93"/>
      <c r="N49" s="93"/>
      <c r="O49" s="94"/>
      <c r="P49" s="15"/>
      <c r="R49" s="1"/>
    </row>
    <row r="50" spans="1:18">
      <c r="B50" s="92"/>
      <c r="C50" s="93"/>
      <c r="D50" s="93"/>
      <c r="E50" s="93"/>
      <c r="F50" s="93"/>
      <c r="G50" s="93"/>
      <c r="H50" s="93"/>
      <c r="I50" s="93"/>
      <c r="J50" s="93"/>
      <c r="K50" s="93"/>
      <c r="L50" s="93"/>
      <c r="M50" s="93"/>
      <c r="N50" s="93"/>
      <c r="O50" s="94"/>
      <c r="P50" s="15"/>
      <c r="R50" s="1"/>
    </row>
    <row r="51" spans="1:18">
      <c r="B51" s="92"/>
      <c r="C51" s="93"/>
      <c r="D51" s="93"/>
      <c r="E51" s="93"/>
      <c r="F51" s="93"/>
      <c r="G51" s="93"/>
      <c r="H51" s="93"/>
      <c r="I51" s="93"/>
      <c r="J51" s="93"/>
      <c r="K51" s="93"/>
      <c r="L51" s="93"/>
      <c r="M51" s="93"/>
      <c r="N51" s="93"/>
      <c r="O51" s="94"/>
      <c r="P51" s="15"/>
      <c r="R51" s="1"/>
    </row>
    <row r="52" spans="1:18">
      <c r="B52" s="92"/>
      <c r="C52" s="93"/>
      <c r="D52" s="93"/>
      <c r="E52" s="93"/>
      <c r="F52" s="93"/>
      <c r="G52" s="93"/>
      <c r="H52" s="93"/>
      <c r="I52" s="93"/>
      <c r="J52" s="93"/>
      <c r="K52" s="93"/>
      <c r="L52" s="93"/>
      <c r="M52" s="93"/>
      <c r="N52" s="93"/>
      <c r="O52" s="94"/>
      <c r="P52" s="15"/>
      <c r="R52" s="1"/>
    </row>
    <row r="53" spans="1:18" s="1" customFormat="1">
      <c r="A53" s="2"/>
      <c r="O53" s="2"/>
    </row>
    <row r="54" spans="1:18" s="1" customFormat="1" ht="16.5" thickBot="1">
      <c r="A54" s="2"/>
      <c r="B54" s="30"/>
      <c r="C54" s="28"/>
      <c r="D54" s="28"/>
      <c r="E54" s="28"/>
      <c r="F54" s="28"/>
      <c r="G54" s="28"/>
      <c r="H54" s="28"/>
      <c r="I54" s="28"/>
      <c r="J54" s="28"/>
      <c r="K54" s="28"/>
      <c r="L54" s="28"/>
      <c r="M54" s="28"/>
      <c r="N54" s="28"/>
      <c r="O54" s="29"/>
      <c r="P54" s="16"/>
    </row>
    <row r="55" spans="1:18" s="1" customFormat="1">
      <c r="B55" s="16"/>
      <c r="C55" s="16"/>
      <c r="D55" s="16"/>
      <c r="E55" s="16"/>
      <c r="F55" s="16"/>
      <c r="G55" s="16"/>
      <c r="H55" s="16"/>
      <c r="I55" s="16"/>
      <c r="J55" s="16"/>
      <c r="K55" s="16"/>
      <c r="L55" s="16"/>
      <c r="M55" s="16"/>
      <c r="N55" s="16"/>
      <c r="O55" s="16"/>
      <c r="P55" s="16"/>
    </row>
    <row r="56" spans="1:18" s="1" customFormat="1">
      <c r="B56" s="16"/>
      <c r="C56" s="16"/>
      <c r="D56" s="16"/>
      <c r="E56" s="16"/>
      <c r="F56" s="16"/>
      <c r="G56" s="16"/>
      <c r="H56" s="16"/>
      <c r="I56" s="16"/>
      <c r="J56" s="16"/>
      <c r="K56" s="16"/>
      <c r="L56" s="16"/>
      <c r="M56" s="16"/>
      <c r="N56" s="16"/>
      <c r="O56" s="16"/>
      <c r="P56" s="16"/>
    </row>
    <row r="57" spans="1:18" s="1" customFormat="1">
      <c r="B57" s="16"/>
      <c r="C57" s="16"/>
      <c r="D57" s="16"/>
      <c r="E57" s="16"/>
      <c r="F57" s="16"/>
      <c r="G57" s="16"/>
      <c r="H57" s="16"/>
      <c r="I57" s="16"/>
      <c r="J57" s="16"/>
      <c r="K57" s="16"/>
      <c r="L57" s="16"/>
      <c r="M57" s="16"/>
      <c r="N57" s="16"/>
      <c r="O57" s="16"/>
      <c r="P57" s="16"/>
    </row>
    <row r="58" spans="1:18" s="1" customFormat="1">
      <c r="B58" s="16"/>
      <c r="C58" s="16"/>
      <c r="D58" s="16"/>
      <c r="E58" s="16"/>
      <c r="F58" s="16"/>
      <c r="G58" s="16"/>
      <c r="H58" s="16"/>
      <c r="I58" s="16"/>
      <c r="J58" s="16"/>
      <c r="K58" s="16"/>
      <c r="L58" s="16"/>
      <c r="M58" s="16"/>
      <c r="N58" s="16"/>
      <c r="O58" s="16"/>
      <c r="P58" s="16"/>
    </row>
    <row r="59" spans="1:18" s="1" customFormat="1"/>
    <row r="60" spans="1:18" s="1" customFormat="1"/>
    <row r="61" spans="1:18" s="1" customFormat="1"/>
    <row r="62" spans="1:18" s="1" customFormat="1"/>
    <row r="63" spans="1:18" s="1" customFormat="1"/>
    <row r="64" spans="1:18"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row r="151" s="1" customFormat="1"/>
    <row r="152" s="1" customFormat="1"/>
    <row r="153" s="1" customFormat="1"/>
    <row r="154" s="1" customFormat="1"/>
    <row r="155" s="1" customFormat="1"/>
    <row r="156" s="1" customFormat="1"/>
    <row r="157" s="1" customFormat="1"/>
    <row r="158" s="1" customFormat="1"/>
    <row r="159" s="1" customFormat="1"/>
    <row r="160" s="1" customFormat="1"/>
    <row r="161" s="1" customFormat="1"/>
    <row r="162" s="1" customFormat="1"/>
    <row r="163" s="1" customFormat="1"/>
    <row r="164" s="1" customFormat="1"/>
    <row r="165" s="1" customFormat="1"/>
    <row r="166" s="1" customFormat="1"/>
    <row r="167" s="1" customFormat="1"/>
    <row r="168" s="1" customFormat="1"/>
    <row r="169" s="1" customFormat="1"/>
    <row r="170" s="1" customFormat="1"/>
    <row r="171" s="1" customFormat="1"/>
    <row r="172" s="1" customFormat="1"/>
    <row r="173" s="1" customFormat="1"/>
    <row r="174" s="1" customFormat="1"/>
    <row r="175" s="1" customFormat="1"/>
    <row r="176" s="1" customFormat="1"/>
    <row r="177" s="1" customFormat="1"/>
    <row r="178" s="1" customFormat="1"/>
    <row r="179" s="1" customFormat="1"/>
    <row r="180" s="1" customFormat="1"/>
    <row r="181" s="1" customFormat="1"/>
    <row r="182" s="1" customFormat="1"/>
    <row r="183" s="1" customFormat="1"/>
  </sheetData>
  <mergeCells count="3">
    <mergeCell ref="B3:O3"/>
    <mergeCell ref="B4:O52"/>
    <mergeCell ref="B2:R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2EFB0-1E9D-4D88-8D11-4D2DB6E6F53E}">
  <dimension ref="A1:AQ36"/>
  <sheetViews>
    <sheetView zoomScale="66" zoomScaleNormal="70" workbookViewId="0">
      <selection activeCell="E6" sqref="E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73.5" style="31" customWidth="1"/>
    <col min="6" max="11" width="10.625" style="31" customWidth="1"/>
    <col min="12" max="13" width="10.625" style="42" customWidth="1"/>
    <col min="14" max="15" width="3.375" style="42" customWidth="1"/>
    <col min="16" max="25" width="10.875" style="42" hidden="1" customWidth="1"/>
    <col min="26" max="16384" width="10.875" style="42"/>
  </cols>
  <sheetData>
    <row r="1" spans="1:42" s="43" customFormat="1" ht="16.5" thickBot="1">
      <c r="A1" s="42"/>
      <c r="B1" s="42"/>
      <c r="C1" s="42"/>
      <c r="D1" s="42"/>
      <c r="E1" s="31"/>
      <c r="F1" s="31"/>
      <c r="G1" s="31"/>
      <c r="H1" s="31"/>
      <c r="I1" s="31"/>
      <c r="J1" s="31"/>
      <c r="K1" s="31"/>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42" s="43" customFormat="1" ht="26.25">
      <c r="A2" s="42"/>
      <c r="B2" s="44"/>
      <c r="C2" s="96" t="s">
        <v>208</v>
      </c>
      <c r="D2" s="96"/>
      <c r="E2" s="96"/>
      <c r="F2" s="96"/>
      <c r="G2" s="96"/>
      <c r="H2" s="96"/>
      <c r="I2" s="96"/>
      <c r="J2" s="96"/>
      <c r="K2" s="96"/>
      <c r="L2" s="96"/>
      <c r="M2" s="96"/>
      <c r="N2" s="45"/>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row>
    <row r="3" spans="1:42" s="43" customFormat="1" ht="21.75" thickBot="1">
      <c r="A3" s="42"/>
      <c r="B3" s="46"/>
      <c r="C3" s="42"/>
      <c r="D3" s="42"/>
      <c r="E3" s="4"/>
      <c r="F3" s="4"/>
      <c r="G3" s="4"/>
      <c r="H3" s="4"/>
      <c r="I3" s="4"/>
      <c r="J3" s="4"/>
      <c r="K3" s="4"/>
      <c r="L3" s="4"/>
      <c r="M3" s="4"/>
      <c r="N3" s="47"/>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row>
    <row r="4" spans="1:42" s="43" customFormat="1" ht="21">
      <c r="A4" s="42"/>
      <c r="B4" s="46"/>
      <c r="C4" s="24" t="s">
        <v>11</v>
      </c>
      <c r="D4" s="4"/>
      <c r="E4" s="97" t="s">
        <v>12</v>
      </c>
      <c r="F4" s="98"/>
      <c r="G4" s="98"/>
      <c r="H4" s="98"/>
      <c r="I4" s="98"/>
      <c r="J4" s="98"/>
      <c r="K4" s="98"/>
      <c r="L4" s="98"/>
      <c r="M4" s="99"/>
      <c r="N4" s="47"/>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row>
    <row r="5" spans="1:42" s="43" customFormat="1">
      <c r="A5" s="42"/>
      <c r="B5" s="46"/>
      <c r="C5" s="48"/>
      <c r="D5" s="42"/>
      <c r="E5" s="49" t="s">
        <v>13</v>
      </c>
      <c r="F5" s="50" t="s">
        <v>194</v>
      </c>
      <c r="G5" s="50" t="s">
        <v>195</v>
      </c>
      <c r="H5" s="50" t="s">
        <v>196</v>
      </c>
      <c r="I5" s="50" t="s">
        <v>203</v>
      </c>
      <c r="J5" s="50" t="s">
        <v>206</v>
      </c>
      <c r="K5" s="50" t="s">
        <v>204</v>
      </c>
      <c r="L5" s="50" t="s">
        <v>14</v>
      </c>
      <c r="M5" s="51" t="s">
        <v>15</v>
      </c>
      <c r="N5" s="47"/>
      <c r="O5" s="42"/>
      <c r="P5" s="42" t="s">
        <v>16</v>
      </c>
      <c r="Q5" s="42" t="s">
        <v>17</v>
      </c>
      <c r="R5" s="42"/>
      <c r="S5" s="42"/>
      <c r="T5" s="42"/>
      <c r="U5" s="42"/>
      <c r="V5" s="42"/>
      <c r="W5" s="42"/>
      <c r="X5" s="42"/>
      <c r="Y5" s="42"/>
      <c r="Z5" s="42"/>
      <c r="AA5" s="42"/>
      <c r="AB5" s="42"/>
      <c r="AC5" s="42"/>
      <c r="AD5" s="42"/>
      <c r="AE5" s="42"/>
      <c r="AF5" s="42"/>
      <c r="AG5" s="42"/>
      <c r="AH5" s="42"/>
      <c r="AI5" s="42"/>
      <c r="AJ5" s="42"/>
      <c r="AK5" s="42"/>
      <c r="AL5" s="42"/>
      <c r="AM5" s="42"/>
      <c r="AN5" s="42"/>
      <c r="AO5" s="42"/>
      <c r="AP5" s="42"/>
    </row>
    <row r="6" spans="1:42" s="43" customFormat="1" ht="48.75" customHeight="1">
      <c r="A6" s="42"/>
      <c r="B6" s="46"/>
      <c r="C6" s="48"/>
      <c r="D6" s="42"/>
      <c r="E6" s="34" t="s">
        <v>406</v>
      </c>
      <c r="F6" s="9"/>
      <c r="G6" s="9"/>
      <c r="H6" s="9"/>
      <c r="I6" s="9"/>
      <c r="J6" s="9"/>
      <c r="K6" s="9"/>
      <c r="L6" s="8" t="e">
        <f t="shared" ref="L6:L11" si="0">Y6</f>
        <v>#N/A</v>
      </c>
      <c r="M6" s="52" t="e">
        <f>RANK(L6,$L6:$L11,0)</f>
        <v>#N/A</v>
      </c>
      <c r="N6" s="47"/>
      <c r="O6" s="42"/>
      <c r="P6" s="42" t="s">
        <v>18</v>
      </c>
      <c r="Q6" s="42">
        <v>10</v>
      </c>
      <c r="R6" s="42"/>
      <c r="S6" s="53"/>
      <c r="T6" s="54" t="e">
        <f>1/S7</f>
        <v>#N/A</v>
      </c>
      <c r="U6" s="54" t="e">
        <f>1/S8</f>
        <v>#N/A</v>
      </c>
      <c r="V6" s="54" t="e">
        <f>1/S9</f>
        <v>#N/A</v>
      </c>
      <c r="W6" s="54" t="e">
        <f>1/S10</f>
        <v>#N/A</v>
      </c>
      <c r="X6" s="54" t="e">
        <f>1/S11</f>
        <v>#N/A</v>
      </c>
      <c r="Y6" s="55" t="e">
        <f t="shared" ref="Y6:Y11" si="1">SUM(S6:X6)</f>
        <v>#N/A</v>
      </c>
      <c r="Z6" s="42"/>
      <c r="AA6" s="42"/>
      <c r="AB6" s="42"/>
      <c r="AC6" s="42"/>
      <c r="AD6" s="42"/>
      <c r="AE6" s="42"/>
      <c r="AF6" s="42"/>
      <c r="AG6" s="42"/>
      <c r="AH6" s="42"/>
      <c r="AI6" s="42"/>
      <c r="AJ6" s="42"/>
      <c r="AK6" s="42"/>
      <c r="AL6" s="42"/>
      <c r="AM6" s="42"/>
      <c r="AN6" s="42"/>
      <c r="AO6" s="42"/>
      <c r="AP6" s="42"/>
    </row>
    <row r="7" spans="1:42" s="43" customFormat="1" ht="57.75" customHeight="1">
      <c r="A7" s="42"/>
      <c r="B7" s="46"/>
      <c r="C7" s="48"/>
      <c r="D7" s="42"/>
      <c r="E7" s="34" t="s">
        <v>407</v>
      </c>
      <c r="F7" s="8"/>
      <c r="G7" s="9"/>
      <c r="H7" s="9"/>
      <c r="I7" s="9"/>
      <c r="J7" s="9"/>
      <c r="K7" s="9"/>
      <c r="L7" s="8" t="e">
        <f t="shared" si="0"/>
        <v>#N/A</v>
      </c>
      <c r="M7" s="52" t="e">
        <f>RANK(L7,$L6:$L11,0)</f>
        <v>#N/A</v>
      </c>
      <c r="N7" s="47"/>
      <c r="O7" s="42"/>
      <c r="P7" s="42" t="s">
        <v>19</v>
      </c>
      <c r="Q7" s="42">
        <v>5</v>
      </c>
      <c r="R7" s="42"/>
      <c r="S7" s="56" t="e">
        <f>VLOOKUP(F7, Table284914[#All], 2, 0)</f>
        <v>#N/A</v>
      </c>
      <c r="T7" s="53"/>
      <c r="U7" s="54" t="e">
        <f>1/T8</f>
        <v>#N/A</v>
      </c>
      <c r="V7" s="54" t="e">
        <f>1/T9</f>
        <v>#N/A</v>
      </c>
      <c r="W7" s="54" t="e">
        <f>1/T10</f>
        <v>#N/A</v>
      </c>
      <c r="X7" s="54" t="e">
        <f>1/T11</f>
        <v>#N/A</v>
      </c>
      <c r="Y7" s="55" t="e">
        <f t="shared" si="1"/>
        <v>#N/A</v>
      </c>
      <c r="Z7" s="42"/>
      <c r="AA7" s="42"/>
      <c r="AB7" s="42"/>
      <c r="AC7" s="42"/>
      <c r="AD7" s="42"/>
      <c r="AE7" s="42"/>
      <c r="AF7" s="42"/>
      <c r="AG7" s="42"/>
      <c r="AH7" s="42"/>
      <c r="AI7" s="42"/>
      <c r="AJ7" s="42"/>
      <c r="AK7" s="42"/>
      <c r="AL7" s="42"/>
      <c r="AM7" s="42"/>
      <c r="AN7" s="42"/>
      <c r="AO7" s="42"/>
      <c r="AP7" s="42"/>
    </row>
    <row r="8" spans="1:42" s="43" customFormat="1" ht="39.950000000000003" customHeight="1">
      <c r="A8" s="42"/>
      <c r="B8" s="46"/>
      <c r="C8" s="48"/>
      <c r="D8" s="42"/>
      <c r="E8" s="35" t="s">
        <v>408</v>
      </c>
      <c r="F8" s="8"/>
      <c r="G8" s="8"/>
      <c r="H8" s="9"/>
      <c r="I8" s="9"/>
      <c r="J8" s="9"/>
      <c r="K8" s="9"/>
      <c r="L8" s="8" t="e">
        <f t="shared" si="0"/>
        <v>#N/A</v>
      </c>
      <c r="M8" s="52" t="e">
        <f>RANK(L8,$L6:$L11,0)</f>
        <v>#N/A</v>
      </c>
      <c r="N8" s="47"/>
      <c r="O8" s="42"/>
      <c r="P8" s="42" t="s">
        <v>20</v>
      </c>
      <c r="Q8" s="42">
        <v>1</v>
      </c>
      <c r="R8" s="42"/>
      <c r="S8" s="56" t="e">
        <f>VLOOKUP(F8, Table284914[#All], 2, 0)</f>
        <v>#N/A</v>
      </c>
      <c r="T8" s="56" t="e">
        <f>VLOOKUP(G8, Table284914[#All], 2, 0)</f>
        <v>#N/A</v>
      </c>
      <c r="U8" s="53"/>
      <c r="V8" s="54" t="e">
        <f>1/U9</f>
        <v>#N/A</v>
      </c>
      <c r="W8" s="54" t="e">
        <f>1/U10</f>
        <v>#N/A</v>
      </c>
      <c r="X8" s="54" t="e">
        <f>1/U11</f>
        <v>#N/A</v>
      </c>
      <c r="Y8" s="55" t="e">
        <f t="shared" si="1"/>
        <v>#N/A</v>
      </c>
      <c r="Z8" s="42"/>
      <c r="AA8" s="42"/>
      <c r="AB8" s="42"/>
      <c r="AC8" s="42"/>
      <c r="AD8" s="42"/>
      <c r="AE8" s="42"/>
      <c r="AF8" s="42"/>
      <c r="AG8" s="42"/>
      <c r="AH8" s="42"/>
      <c r="AI8" s="42"/>
      <c r="AJ8" s="42"/>
      <c r="AK8" s="42"/>
      <c r="AL8" s="42"/>
      <c r="AM8" s="42"/>
      <c r="AN8" s="42"/>
      <c r="AO8" s="42"/>
      <c r="AP8" s="42"/>
    </row>
    <row r="9" spans="1:42" s="43" customFormat="1" ht="48.75" customHeight="1">
      <c r="A9" s="42"/>
      <c r="B9" s="46"/>
      <c r="C9" s="48"/>
      <c r="D9" s="42"/>
      <c r="E9" s="35" t="s">
        <v>202</v>
      </c>
      <c r="F9" s="8"/>
      <c r="G9" s="8"/>
      <c r="H9" s="10"/>
      <c r="I9" s="9"/>
      <c r="J9" s="9"/>
      <c r="K9" s="9"/>
      <c r="L9" s="8" t="e">
        <f t="shared" si="0"/>
        <v>#N/A</v>
      </c>
      <c r="M9" s="52" t="e">
        <f>RANK(L9,$L6:$L11,0)</f>
        <v>#N/A</v>
      </c>
      <c r="N9" s="47"/>
      <c r="O9" s="42"/>
      <c r="P9" s="42" t="s">
        <v>21</v>
      </c>
      <c r="Q9" s="42">
        <v>0.2</v>
      </c>
      <c r="R9" s="42"/>
      <c r="S9" s="56" t="e">
        <f>VLOOKUP(F9, Table284914[#All], 2, 0)</f>
        <v>#N/A</v>
      </c>
      <c r="T9" s="56" t="e">
        <f>VLOOKUP(G9, Table284914[#All], 2, 0)</f>
        <v>#N/A</v>
      </c>
      <c r="U9" s="56" t="e">
        <f>VLOOKUP(H9, Table284914[#All], 2, 0)</f>
        <v>#N/A</v>
      </c>
      <c r="V9" s="53"/>
      <c r="W9" s="54" t="e">
        <f>1/V10</f>
        <v>#N/A</v>
      </c>
      <c r="X9" s="54" t="e">
        <f>1/V11</f>
        <v>#N/A</v>
      </c>
      <c r="Y9" s="55" t="e">
        <f t="shared" si="1"/>
        <v>#N/A</v>
      </c>
      <c r="Z9" s="42"/>
      <c r="AA9" s="42"/>
      <c r="AB9" s="42"/>
      <c r="AC9" s="42"/>
      <c r="AD9" s="42"/>
      <c r="AE9" s="42"/>
      <c r="AF9" s="42"/>
      <c r="AG9" s="42"/>
      <c r="AH9" s="42"/>
      <c r="AI9" s="42"/>
      <c r="AJ9" s="42"/>
      <c r="AK9" s="42"/>
      <c r="AL9" s="42"/>
      <c r="AM9" s="42"/>
      <c r="AN9" s="42"/>
      <c r="AO9" s="42"/>
      <c r="AP9" s="42"/>
    </row>
    <row r="10" spans="1:42" s="43" customFormat="1" ht="36.6" customHeight="1">
      <c r="A10" s="42"/>
      <c r="B10" s="46"/>
      <c r="C10" s="48"/>
      <c r="D10" s="42"/>
      <c r="E10" s="35" t="s">
        <v>205</v>
      </c>
      <c r="F10" s="8"/>
      <c r="G10" s="8"/>
      <c r="H10" s="10"/>
      <c r="I10" s="10"/>
      <c r="J10" s="22"/>
      <c r="K10" s="9"/>
      <c r="L10" s="8" t="e">
        <f t="shared" si="0"/>
        <v>#N/A</v>
      </c>
      <c r="M10" s="52" t="e">
        <f>RANK(L10, $L6:$L11,0)</f>
        <v>#N/A</v>
      </c>
      <c r="N10" s="47"/>
      <c r="O10" s="42"/>
      <c r="P10" s="42" t="s">
        <v>22</v>
      </c>
      <c r="Q10" s="42">
        <v>0.1</v>
      </c>
      <c r="R10" s="42"/>
      <c r="S10" s="56" t="e">
        <f>VLOOKUP(F10, Table284914[#All], 2, 0)</f>
        <v>#N/A</v>
      </c>
      <c r="T10" s="56" t="e">
        <f>VLOOKUP(G10, Table284914[#All], 2, 0)</f>
        <v>#N/A</v>
      </c>
      <c r="U10" s="56" t="e">
        <f>VLOOKUP(H10, Table284914[#All], 2, 0)</f>
        <v>#N/A</v>
      </c>
      <c r="V10" s="56" t="e">
        <f>VLOOKUP(I10, Table284914[#All], 2, 0)</f>
        <v>#N/A</v>
      </c>
      <c r="W10" s="53"/>
      <c r="X10" s="54" t="e">
        <f>1/W11</f>
        <v>#N/A</v>
      </c>
      <c r="Y10" s="55" t="e">
        <f t="shared" si="1"/>
        <v>#N/A</v>
      </c>
      <c r="Z10" s="42"/>
      <c r="AA10" s="42"/>
      <c r="AB10" s="42"/>
      <c r="AC10" s="42"/>
      <c r="AD10" s="42"/>
      <c r="AE10" s="42"/>
      <c r="AF10" s="42"/>
      <c r="AG10" s="42"/>
      <c r="AH10" s="42"/>
      <c r="AI10" s="42"/>
      <c r="AJ10" s="42"/>
      <c r="AK10" s="42"/>
      <c r="AL10" s="42"/>
      <c r="AM10" s="42"/>
      <c r="AN10" s="42"/>
      <c r="AO10" s="42"/>
      <c r="AP10" s="42"/>
    </row>
    <row r="11" spans="1:42" s="43" customFormat="1" ht="78.75" customHeight="1" thickBot="1">
      <c r="A11" s="42"/>
      <c r="B11" s="46"/>
      <c r="C11" s="48"/>
      <c r="D11" s="42"/>
      <c r="E11" s="36" t="s">
        <v>409</v>
      </c>
      <c r="F11" s="5"/>
      <c r="G11" s="13"/>
      <c r="H11" s="13"/>
      <c r="I11" s="5"/>
      <c r="J11" s="5"/>
      <c r="K11" s="21"/>
      <c r="L11" s="13" t="e">
        <f t="shared" si="0"/>
        <v>#N/A</v>
      </c>
      <c r="M11" s="57" t="e">
        <f>RANK(L11,$L6:$L11,0)</f>
        <v>#N/A</v>
      </c>
      <c r="N11" s="47"/>
      <c r="O11" s="42"/>
      <c r="P11" s="42"/>
      <c r="Q11" s="42"/>
      <c r="R11" s="42"/>
      <c r="S11" s="56" t="e">
        <f>VLOOKUP(F11, Table284914[#All], 2, 0)</f>
        <v>#N/A</v>
      </c>
      <c r="T11" s="56" t="e">
        <f>VLOOKUP(G11, Table284914[#All], 2, 0)</f>
        <v>#N/A</v>
      </c>
      <c r="U11" s="56" t="e">
        <f>VLOOKUP(H11, Table284914[#All], 2, 0)</f>
        <v>#N/A</v>
      </c>
      <c r="V11" s="56" t="e">
        <f>VLOOKUP(I11, Table284914[#All], 2, 0)</f>
        <v>#N/A</v>
      </c>
      <c r="W11" s="56" t="e">
        <f>VLOOKUP(J11, Table284914[#All], 2, 0)</f>
        <v>#N/A</v>
      </c>
      <c r="X11" s="58"/>
      <c r="Y11" s="55" t="e">
        <f t="shared" si="1"/>
        <v>#N/A</v>
      </c>
      <c r="Z11" s="42"/>
      <c r="AA11" s="42"/>
      <c r="AB11" s="42"/>
      <c r="AC11" s="42"/>
      <c r="AD11" s="42"/>
      <c r="AE11" s="42"/>
      <c r="AF11" s="42"/>
      <c r="AG11" s="42"/>
      <c r="AH11" s="42"/>
      <c r="AI11" s="42"/>
      <c r="AJ11" s="42"/>
      <c r="AK11" s="42"/>
      <c r="AL11" s="42"/>
      <c r="AM11" s="42"/>
      <c r="AN11" s="42"/>
      <c r="AO11" s="42"/>
      <c r="AP11" s="42"/>
    </row>
    <row r="12" spans="1:42" s="43" customFormat="1">
      <c r="A12" s="42"/>
      <c r="B12" s="46"/>
      <c r="C12" s="48"/>
      <c r="D12" s="42"/>
      <c r="E12" s="23"/>
      <c r="F12" s="31"/>
      <c r="G12" s="31"/>
      <c r="H12" s="31"/>
      <c r="I12" s="31"/>
      <c r="J12" s="31"/>
      <c r="K12" s="31"/>
      <c r="L12" s="42"/>
      <c r="M12" s="42"/>
      <c r="N12" s="47"/>
      <c r="O12" s="42"/>
      <c r="P12" s="42"/>
      <c r="Q12" s="42"/>
      <c r="R12" s="42"/>
      <c r="S12" s="42"/>
      <c r="T12" s="42"/>
      <c r="U12" s="42"/>
      <c r="V12" s="42"/>
      <c r="W12" s="42"/>
      <c r="X12" s="42"/>
      <c r="Y12" s="42"/>
      <c r="Z12" s="42"/>
      <c r="AA12" s="42"/>
      <c r="AB12" s="42"/>
      <c r="AC12" s="42"/>
      <c r="AD12" s="42"/>
      <c r="AE12" s="42"/>
      <c r="AF12" s="42"/>
      <c r="AG12" s="42"/>
      <c r="AH12" s="42"/>
      <c r="AI12" s="42"/>
      <c r="AJ12" s="42"/>
      <c r="AK12" s="42"/>
      <c r="AL12" s="42"/>
      <c r="AM12" s="42"/>
      <c r="AN12" s="42"/>
      <c r="AO12" s="42"/>
      <c r="AP12" s="42"/>
    </row>
    <row r="13" spans="1:42" s="43" customFormat="1">
      <c r="A13" s="42"/>
      <c r="B13" s="46"/>
      <c r="C13" s="48"/>
      <c r="D13" s="42"/>
      <c r="E13" s="59"/>
      <c r="F13" s="31"/>
      <c r="G13" s="31"/>
      <c r="H13" s="31"/>
      <c r="I13" s="31"/>
      <c r="J13" s="31"/>
      <c r="K13" s="31"/>
      <c r="L13" s="42"/>
      <c r="M13" s="42"/>
      <c r="N13" s="47"/>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row>
    <row r="14" spans="1:42" s="43" customFormat="1">
      <c r="A14" s="42"/>
      <c r="B14" s="46"/>
      <c r="C14" s="48"/>
      <c r="D14" s="42"/>
      <c r="E14" s="42"/>
      <c r="F14" s="31"/>
      <c r="G14" s="31"/>
      <c r="H14" s="31"/>
      <c r="I14" s="31"/>
      <c r="J14" s="31"/>
      <c r="K14" s="31"/>
      <c r="L14" s="42"/>
      <c r="M14" s="42"/>
      <c r="N14" s="47"/>
      <c r="O14" s="42"/>
      <c r="P14" s="42"/>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row>
    <row r="15" spans="1:42" s="43" customFormat="1">
      <c r="A15" s="42"/>
      <c r="B15" s="46"/>
      <c r="C15" s="48"/>
      <c r="D15" s="42"/>
      <c r="E15" s="31"/>
      <c r="F15" s="31"/>
      <c r="G15" s="31"/>
      <c r="H15" s="31"/>
      <c r="I15" s="31"/>
      <c r="J15" s="31"/>
      <c r="K15" s="31"/>
      <c r="L15" s="42"/>
      <c r="M15" s="42"/>
      <c r="N15" s="47"/>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row>
    <row r="16" spans="1:42" s="43" customFormat="1">
      <c r="A16" s="42"/>
      <c r="B16" s="46"/>
      <c r="C16" s="48"/>
      <c r="D16" s="42"/>
      <c r="E16" s="31"/>
      <c r="F16" s="31"/>
      <c r="G16" s="31"/>
      <c r="H16" s="31"/>
      <c r="I16" s="31"/>
      <c r="J16" s="31"/>
      <c r="K16" s="31"/>
      <c r="L16" s="42"/>
      <c r="M16" s="42"/>
      <c r="N16" s="47"/>
      <c r="O16" s="42"/>
      <c r="P16" s="42"/>
      <c r="Q16" s="42"/>
      <c r="R16" s="42" t="s">
        <v>207</v>
      </c>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row>
    <row r="17" spans="1:42" s="43" customFormat="1">
      <c r="A17" s="42"/>
      <c r="B17" s="46"/>
      <c r="C17" s="48"/>
      <c r="D17" s="42"/>
      <c r="E17" s="31"/>
      <c r="F17" s="31"/>
      <c r="G17" s="31"/>
      <c r="H17" s="31"/>
      <c r="I17" s="31"/>
      <c r="J17" s="31"/>
      <c r="K17" s="31"/>
      <c r="L17" s="42"/>
      <c r="M17" s="42"/>
      <c r="N17" s="47"/>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row>
    <row r="18" spans="1:42" s="43" customFormat="1">
      <c r="A18" s="42"/>
      <c r="B18" s="46"/>
      <c r="C18" s="48"/>
      <c r="D18" s="42"/>
      <c r="E18" s="31"/>
      <c r="F18" s="31"/>
      <c r="G18" s="31"/>
      <c r="H18" s="31"/>
      <c r="I18" s="31"/>
      <c r="J18" s="31"/>
      <c r="K18" s="31"/>
      <c r="L18" s="42"/>
      <c r="M18" s="42"/>
      <c r="N18" s="47"/>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row>
    <row r="19" spans="1:42" s="43" customFormat="1">
      <c r="A19" s="42"/>
      <c r="B19" s="46"/>
      <c r="C19" s="48"/>
      <c r="D19" s="42"/>
      <c r="E19" s="31"/>
      <c r="F19" s="31"/>
      <c r="G19" s="31"/>
      <c r="H19" s="31"/>
      <c r="I19" s="31"/>
      <c r="J19" s="31"/>
      <c r="K19" s="31"/>
      <c r="L19" s="42"/>
      <c r="M19" s="42"/>
      <c r="N19" s="47"/>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row>
    <row r="20" spans="1:42" s="43" customFormat="1">
      <c r="A20" s="42"/>
      <c r="B20" s="46"/>
      <c r="C20" s="48"/>
      <c r="D20" s="42"/>
      <c r="E20" s="31"/>
      <c r="F20" s="31"/>
      <c r="G20" s="31"/>
      <c r="H20" s="31"/>
      <c r="I20" s="31"/>
      <c r="J20" s="31"/>
      <c r="K20" s="31"/>
      <c r="L20" s="42"/>
      <c r="M20" s="42"/>
      <c r="N20" s="47"/>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row>
    <row r="21" spans="1:42" s="43" customFormat="1">
      <c r="A21" s="42"/>
      <c r="B21" s="46"/>
      <c r="C21" s="48"/>
      <c r="D21" s="42"/>
      <c r="E21" s="31"/>
      <c r="F21" s="31"/>
      <c r="G21" s="31"/>
      <c r="H21" s="31"/>
      <c r="I21" s="31"/>
      <c r="J21" s="31"/>
      <c r="K21" s="31"/>
      <c r="L21" s="42"/>
      <c r="M21" s="42"/>
      <c r="N21" s="47"/>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row>
    <row r="22" spans="1:42" s="43" customFormat="1">
      <c r="A22" s="42"/>
      <c r="B22" s="46"/>
      <c r="C22" s="48"/>
      <c r="D22" s="42"/>
      <c r="E22" s="31"/>
      <c r="F22" s="31"/>
      <c r="G22" s="31"/>
      <c r="H22" s="31"/>
      <c r="I22" s="31"/>
      <c r="J22" s="31"/>
      <c r="K22" s="31"/>
      <c r="L22" s="42"/>
      <c r="M22" s="42"/>
      <c r="N22" s="47"/>
      <c r="O22" s="42"/>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row>
    <row r="23" spans="1:42" s="43" customFormat="1">
      <c r="A23" s="42"/>
      <c r="B23" s="46"/>
      <c r="C23" s="48"/>
      <c r="D23" s="42"/>
      <c r="E23" s="31"/>
      <c r="F23" s="31"/>
      <c r="G23" s="31"/>
      <c r="H23" s="31"/>
      <c r="I23" s="31"/>
      <c r="J23" s="31"/>
      <c r="K23" s="31"/>
      <c r="L23" s="42"/>
      <c r="M23" s="42"/>
      <c r="N23" s="47"/>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row>
    <row r="24" spans="1:42" s="43" customFormat="1">
      <c r="A24" s="42"/>
      <c r="B24" s="46"/>
      <c r="C24" s="48"/>
      <c r="D24" s="42"/>
      <c r="E24" s="31"/>
      <c r="F24" s="31"/>
      <c r="G24" s="31"/>
      <c r="H24" s="31"/>
      <c r="I24" s="31"/>
      <c r="J24" s="31"/>
      <c r="K24" s="31"/>
      <c r="L24" s="42"/>
      <c r="M24" s="42"/>
      <c r="N24" s="47"/>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row>
    <row r="25" spans="1:42" s="43" customFormat="1">
      <c r="A25" s="42"/>
      <c r="B25" s="46"/>
      <c r="C25" s="48"/>
      <c r="D25" s="42"/>
      <c r="E25" s="31"/>
      <c r="F25" s="31"/>
      <c r="G25" s="31"/>
      <c r="H25" s="31"/>
      <c r="I25" s="31"/>
      <c r="J25" s="31"/>
      <c r="K25" s="31"/>
      <c r="L25" s="42"/>
      <c r="M25" s="42"/>
      <c r="N25" s="47"/>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row>
    <row r="26" spans="1:42" s="43" customFormat="1">
      <c r="A26" s="42"/>
      <c r="B26" s="46"/>
      <c r="C26" s="48"/>
      <c r="D26" s="42"/>
      <c r="E26" s="31"/>
      <c r="F26" s="31"/>
      <c r="G26" s="31"/>
      <c r="H26" s="31"/>
      <c r="I26" s="31"/>
      <c r="J26" s="31"/>
      <c r="K26" s="31"/>
      <c r="L26" s="42"/>
      <c r="M26" s="42"/>
      <c r="N26" s="47"/>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row>
    <row r="27" spans="1:42" s="43" customFormat="1">
      <c r="A27" s="42"/>
      <c r="B27" s="46"/>
      <c r="C27" s="48"/>
      <c r="D27" s="42"/>
      <c r="E27" s="31"/>
      <c r="F27" s="31"/>
      <c r="G27" s="31"/>
      <c r="H27" s="31"/>
      <c r="I27" s="31"/>
      <c r="J27" s="31"/>
      <c r="K27" s="31"/>
      <c r="L27" s="42"/>
      <c r="M27" s="42"/>
      <c r="N27" s="47"/>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row>
    <row r="28" spans="1:42" s="43" customFormat="1">
      <c r="A28" s="42"/>
      <c r="B28" s="46"/>
      <c r="C28" s="48"/>
      <c r="D28" s="42"/>
      <c r="E28" s="31"/>
      <c r="F28" s="31"/>
      <c r="G28" s="31"/>
      <c r="H28" s="31"/>
      <c r="I28" s="31"/>
      <c r="J28" s="31"/>
      <c r="K28" s="31"/>
      <c r="L28" s="42"/>
      <c r="M28" s="42"/>
      <c r="N28" s="47"/>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row>
    <row r="29" spans="1:42" s="60" customFormat="1">
      <c r="A29" s="42"/>
      <c r="B29" s="46"/>
      <c r="C29" s="48"/>
      <c r="D29" s="42"/>
      <c r="E29" s="31"/>
      <c r="F29" s="31"/>
      <c r="G29" s="31"/>
      <c r="H29" s="31"/>
      <c r="I29" s="31"/>
      <c r="J29" s="31"/>
      <c r="K29" s="31"/>
      <c r="L29" s="42"/>
      <c r="M29" s="42"/>
      <c r="N29" s="47"/>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row>
    <row r="30" spans="1:42">
      <c r="B30" s="46"/>
      <c r="C30" s="48"/>
      <c r="N30" s="47"/>
    </row>
    <row r="31" spans="1:42">
      <c r="B31" s="46"/>
      <c r="C31" s="48"/>
      <c r="N31" s="47"/>
    </row>
    <row r="32" spans="1:42">
      <c r="B32" s="46"/>
      <c r="C32" s="48"/>
      <c r="N32" s="47"/>
    </row>
    <row r="33" spans="1:43">
      <c r="B33" s="46"/>
      <c r="C33" s="48"/>
      <c r="N33" s="47"/>
    </row>
    <row r="34" spans="1:43" ht="16.5" thickBot="1">
      <c r="B34" s="46"/>
      <c r="C34" s="61"/>
      <c r="E34" s="31" t="s">
        <v>207</v>
      </c>
      <c r="N34" s="47"/>
    </row>
    <row r="35" spans="1:43" s="31" customFormat="1" ht="16.5" thickBot="1">
      <c r="A35" s="42"/>
      <c r="B35" s="62"/>
      <c r="C35" s="63"/>
      <c r="D35" s="63"/>
      <c r="E35" s="33"/>
      <c r="F35" s="33"/>
      <c r="G35" s="33"/>
      <c r="H35" s="33"/>
      <c r="I35" s="33"/>
      <c r="J35" s="33"/>
      <c r="K35" s="33"/>
      <c r="L35" s="63"/>
      <c r="M35" s="63"/>
      <c r="N35" s="64"/>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row>
    <row r="36" spans="1:43">
      <c r="D36" s="31"/>
    </row>
  </sheetData>
  <mergeCells count="2">
    <mergeCell ref="C2:M2"/>
    <mergeCell ref="E4:M4"/>
  </mergeCells>
  <dataValidations count="1">
    <dataValidation type="list" allowBlank="1" showInputMessage="1" showErrorMessage="1" sqref="F7:F11 I10:J10 G8:G11 H9:H11 I11:K11" xr:uid="{2F765192-9F2F-4CF8-B10E-6777AA6C729E}">
      <formula1>Scale</formula1>
    </dataValidation>
  </dataValidation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D13E-7489-43AE-8BBB-7CF0C1AB9B52}">
  <dimension ref="A1:BH51"/>
  <sheetViews>
    <sheetView topLeftCell="D1" zoomScale="61" zoomScaleNormal="75" workbookViewId="0">
      <selection activeCell="E8" sqref="E8"/>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20" width="10.625" style="31" customWidth="1"/>
    <col min="21" max="22" width="10.625" style="42" customWidth="1"/>
    <col min="23" max="24" width="3.375" style="42" customWidth="1"/>
    <col min="25" max="43" width="10.875" style="42" hidden="1" customWidth="1"/>
    <col min="44" max="44" width="0" style="42" hidden="1" customWidth="1"/>
    <col min="45" max="16384" width="10.875" style="42"/>
  </cols>
  <sheetData>
    <row r="1" spans="1:60" s="43" customFormat="1" ht="16.5" thickBot="1">
      <c r="A1" s="42"/>
      <c r="B1" s="42"/>
      <c r="C1" s="42"/>
      <c r="D1" s="42"/>
      <c r="E1" s="31"/>
      <c r="F1" s="31"/>
      <c r="G1" s="31"/>
      <c r="H1" s="31"/>
      <c r="I1" s="31"/>
      <c r="J1" s="31"/>
      <c r="K1" s="31"/>
      <c r="L1" s="31"/>
      <c r="M1" s="31"/>
      <c r="N1" s="31"/>
      <c r="O1" s="31"/>
      <c r="P1" s="31"/>
      <c r="Q1" s="31"/>
      <c r="R1" s="31"/>
      <c r="S1" s="31"/>
      <c r="T1" s="31"/>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row>
    <row r="2" spans="1:60" s="43" customFormat="1" ht="26.25">
      <c r="A2" s="42"/>
      <c r="B2" s="44"/>
      <c r="C2" s="96" t="s">
        <v>23</v>
      </c>
      <c r="D2" s="96"/>
      <c r="E2" s="96"/>
      <c r="F2" s="96"/>
      <c r="G2" s="96"/>
      <c r="H2" s="96"/>
      <c r="I2" s="96"/>
      <c r="J2" s="96"/>
      <c r="K2" s="96"/>
      <c r="L2" s="96"/>
      <c r="M2" s="96"/>
      <c r="N2" s="96"/>
      <c r="O2" s="96"/>
      <c r="P2" s="96"/>
      <c r="Q2" s="96"/>
      <c r="R2" s="96"/>
      <c r="S2" s="96"/>
      <c r="T2" s="96"/>
      <c r="U2" s="96"/>
      <c r="V2" s="96"/>
      <c r="W2" s="45"/>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row>
    <row r="3" spans="1:60" s="43" customFormat="1" ht="21.75" thickBot="1">
      <c r="A3" s="42"/>
      <c r="B3" s="46"/>
      <c r="C3" s="42"/>
      <c r="D3" s="42"/>
      <c r="E3" s="4"/>
      <c r="F3" s="4"/>
      <c r="G3" s="4"/>
      <c r="H3" s="4"/>
      <c r="I3" s="4"/>
      <c r="J3" s="4"/>
      <c r="K3" s="4"/>
      <c r="L3" s="4"/>
      <c r="M3" s="4"/>
      <c r="N3" s="4"/>
      <c r="O3" s="4"/>
      <c r="P3" s="4"/>
      <c r="Q3" s="4"/>
      <c r="R3" s="4"/>
      <c r="S3" s="4"/>
      <c r="T3" s="4"/>
      <c r="U3" s="4"/>
      <c r="V3" s="4"/>
      <c r="W3" s="47"/>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row>
    <row r="4" spans="1:60" s="43" customFormat="1" ht="21.75" thickBot="1">
      <c r="A4" s="42"/>
      <c r="B4" s="46"/>
      <c r="C4" s="3" t="s">
        <v>11</v>
      </c>
      <c r="D4" s="4"/>
      <c r="E4" s="100" t="s">
        <v>12</v>
      </c>
      <c r="F4" s="101"/>
      <c r="G4" s="101"/>
      <c r="H4" s="101"/>
      <c r="I4" s="101"/>
      <c r="J4" s="101"/>
      <c r="K4" s="101"/>
      <c r="L4" s="101"/>
      <c r="M4" s="101"/>
      <c r="N4" s="101"/>
      <c r="O4" s="101"/>
      <c r="P4" s="101"/>
      <c r="Q4" s="101"/>
      <c r="R4" s="101"/>
      <c r="S4" s="101"/>
      <c r="T4" s="101"/>
      <c r="U4" s="101"/>
      <c r="V4" s="102"/>
      <c r="W4" s="47"/>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row>
    <row r="5" spans="1:60" s="43" customFormat="1">
      <c r="A5" s="42"/>
      <c r="B5" s="46"/>
      <c r="C5" s="48"/>
      <c r="D5" s="42"/>
      <c r="E5" s="49" t="s">
        <v>13</v>
      </c>
      <c r="F5" s="50" t="s">
        <v>210</v>
      </c>
      <c r="G5" s="50" t="s">
        <v>212</v>
      </c>
      <c r="H5" s="50" t="s">
        <v>214</v>
      </c>
      <c r="I5" s="50" t="s">
        <v>218</v>
      </c>
      <c r="J5" s="50" t="s">
        <v>24</v>
      </c>
      <c r="K5" s="50" t="s">
        <v>25</v>
      </c>
      <c r="L5" s="50" t="s">
        <v>26</v>
      </c>
      <c r="M5" s="50" t="s">
        <v>221</v>
      </c>
      <c r="N5" s="50" t="s">
        <v>27</v>
      </c>
      <c r="O5" s="50" t="s">
        <v>28</v>
      </c>
      <c r="P5" s="50" t="s">
        <v>223</v>
      </c>
      <c r="Q5" s="50" t="s">
        <v>29</v>
      </c>
      <c r="R5" s="50" t="s">
        <v>30</v>
      </c>
      <c r="S5" s="50" t="s">
        <v>227</v>
      </c>
      <c r="T5" s="50" t="s">
        <v>228</v>
      </c>
      <c r="U5" s="50" t="s">
        <v>14</v>
      </c>
      <c r="V5" s="51" t="s">
        <v>15</v>
      </c>
      <c r="W5" s="47"/>
      <c r="X5" s="42"/>
      <c r="Y5" s="42" t="s">
        <v>16</v>
      </c>
      <c r="Z5" s="42" t="s">
        <v>17</v>
      </c>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row>
    <row r="6" spans="1:60" s="43" customFormat="1" ht="59.25" customHeight="1">
      <c r="A6" s="42"/>
      <c r="B6" s="46"/>
      <c r="C6" s="48"/>
      <c r="D6" s="42"/>
      <c r="E6" s="37" t="s">
        <v>209</v>
      </c>
      <c r="F6" s="9"/>
      <c r="G6" s="9"/>
      <c r="H6" s="9"/>
      <c r="I6" s="9"/>
      <c r="J6" s="9"/>
      <c r="K6" s="9"/>
      <c r="L6" s="9"/>
      <c r="M6" s="9"/>
      <c r="N6" s="9"/>
      <c r="O6" s="9"/>
      <c r="P6" s="9"/>
      <c r="Q6" s="9"/>
      <c r="R6" s="9"/>
      <c r="S6" s="9"/>
      <c r="T6" s="9"/>
      <c r="U6" s="8" t="e">
        <f t="shared" ref="U6:U20" si="0">AQ6</f>
        <v>#N/A</v>
      </c>
      <c r="V6" s="52" t="e">
        <f>RANK(U6,$U6:$U20,0)</f>
        <v>#N/A</v>
      </c>
      <c r="W6" s="47"/>
      <c r="X6" s="42"/>
      <c r="Y6" s="42" t="s">
        <v>18</v>
      </c>
      <c r="Z6" s="42">
        <v>10</v>
      </c>
      <c r="AA6" s="42"/>
      <c r="AB6" s="53"/>
      <c r="AC6" s="54" t="e">
        <f>1/AB7</f>
        <v>#N/A</v>
      </c>
      <c r="AD6" s="54" t="e">
        <f>1/AB8</f>
        <v>#N/A</v>
      </c>
      <c r="AE6" s="54" t="e">
        <f>1/AB9</f>
        <v>#N/A</v>
      </c>
      <c r="AF6" s="54" t="e">
        <f>1/AB10</f>
        <v>#N/A</v>
      </c>
      <c r="AG6" s="54" t="e">
        <f>1/AB11</f>
        <v>#N/A</v>
      </c>
      <c r="AH6" s="54" t="e">
        <f>1/AB12</f>
        <v>#N/A</v>
      </c>
      <c r="AI6" s="54" t="e">
        <f>1/AB13</f>
        <v>#N/A</v>
      </c>
      <c r="AJ6" s="54" t="e">
        <f>1/AB14</f>
        <v>#N/A</v>
      </c>
      <c r="AK6" s="54" t="e">
        <f>1/AB15</f>
        <v>#N/A</v>
      </c>
      <c r="AL6" s="54" t="e">
        <f>1/AB16</f>
        <v>#N/A</v>
      </c>
      <c r="AM6" s="54" t="e">
        <f>1/AB17</f>
        <v>#N/A</v>
      </c>
      <c r="AN6" s="54" t="e">
        <f>1/AB18</f>
        <v>#N/A</v>
      </c>
      <c r="AO6" s="54" t="e">
        <f>1/AB19</f>
        <v>#N/A</v>
      </c>
      <c r="AP6" s="54" t="e">
        <f>1/AB20</f>
        <v>#N/A</v>
      </c>
      <c r="AQ6" s="55" t="e">
        <f>SUM(AB6:AP6)</f>
        <v>#N/A</v>
      </c>
      <c r="AR6" s="42"/>
      <c r="AS6" s="42"/>
      <c r="AT6" s="42"/>
      <c r="AU6" s="42"/>
      <c r="AV6" s="42"/>
      <c r="AW6" s="42"/>
      <c r="AX6" s="42"/>
      <c r="AY6" s="42"/>
      <c r="AZ6" s="42"/>
      <c r="BA6" s="42"/>
      <c r="BB6" s="42"/>
      <c r="BC6" s="42"/>
      <c r="BD6" s="42"/>
      <c r="BE6" s="42"/>
      <c r="BF6" s="42"/>
      <c r="BG6" s="42"/>
      <c r="BH6" s="42"/>
    </row>
    <row r="7" spans="1:60" s="43" customFormat="1" ht="72.75" customHeight="1">
      <c r="A7" s="42"/>
      <c r="B7" s="46"/>
      <c r="C7" s="48"/>
      <c r="D7" s="42"/>
      <c r="E7" s="37" t="s">
        <v>211</v>
      </c>
      <c r="F7" s="8"/>
      <c r="G7" s="9"/>
      <c r="H7" s="9"/>
      <c r="I7" s="9"/>
      <c r="J7" s="9"/>
      <c r="K7" s="9"/>
      <c r="L7" s="9"/>
      <c r="M7" s="9"/>
      <c r="N7" s="9"/>
      <c r="O7" s="9"/>
      <c r="P7" s="9"/>
      <c r="Q7" s="9"/>
      <c r="R7" s="9"/>
      <c r="S7" s="9"/>
      <c r="T7" s="9"/>
      <c r="U7" s="8" t="e">
        <f t="shared" si="0"/>
        <v>#N/A</v>
      </c>
      <c r="V7" s="52" t="e">
        <f>RANK(U7,$U6:$U20,0)</f>
        <v>#N/A</v>
      </c>
      <c r="W7" s="47"/>
      <c r="X7" s="42"/>
      <c r="Y7" s="42" t="s">
        <v>19</v>
      </c>
      <c r="Z7" s="42">
        <v>5</v>
      </c>
      <c r="AA7" s="42"/>
      <c r="AB7" s="65" t="e">
        <f>VLOOKUP(F7, Table28[#All], 2, 0)</f>
        <v>#N/A</v>
      </c>
      <c r="AC7" s="53"/>
      <c r="AD7" s="54" t="e">
        <f>1/AC8</f>
        <v>#N/A</v>
      </c>
      <c r="AE7" s="54" t="e">
        <f>1/AC9</f>
        <v>#N/A</v>
      </c>
      <c r="AF7" s="54" t="e">
        <f>1/AC10</f>
        <v>#N/A</v>
      </c>
      <c r="AG7" s="54" t="e">
        <f>1/AC11</f>
        <v>#N/A</v>
      </c>
      <c r="AH7" s="54" t="e">
        <f>1/AC12</f>
        <v>#N/A</v>
      </c>
      <c r="AI7" s="54" t="e">
        <f>1/AC13</f>
        <v>#N/A</v>
      </c>
      <c r="AJ7" s="54" t="e">
        <f>1/AC14</f>
        <v>#N/A</v>
      </c>
      <c r="AK7" s="54" t="e">
        <f>1/AC15</f>
        <v>#N/A</v>
      </c>
      <c r="AL7" s="54" t="e">
        <f>1/AC16</f>
        <v>#N/A</v>
      </c>
      <c r="AM7" s="54" t="e">
        <f>1/AC17</f>
        <v>#N/A</v>
      </c>
      <c r="AN7" s="54" t="e">
        <f>1/AC18</f>
        <v>#N/A</v>
      </c>
      <c r="AO7" s="54" t="e">
        <f>1/AC19</f>
        <v>#N/A</v>
      </c>
      <c r="AP7" s="54" t="e">
        <f>1/AC20</f>
        <v>#N/A</v>
      </c>
      <c r="AQ7" s="55" t="e">
        <f>SUM(AB7:AP7)</f>
        <v>#N/A</v>
      </c>
      <c r="AR7" s="42"/>
      <c r="AS7" s="42"/>
      <c r="AT7" s="42"/>
      <c r="AU7" s="42"/>
      <c r="AV7" s="42"/>
      <c r="AW7" s="42"/>
      <c r="AX7" s="42"/>
      <c r="AY7" s="42"/>
      <c r="AZ7" s="42"/>
      <c r="BA7" s="42"/>
      <c r="BB7" s="42"/>
      <c r="BC7" s="42"/>
      <c r="BD7" s="42"/>
      <c r="BE7" s="42"/>
      <c r="BF7" s="42"/>
      <c r="BG7" s="42"/>
      <c r="BH7" s="42"/>
    </row>
    <row r="8" spans="1:60" s="43" customFormat="1" ht="68.45" customHeight="1">
      <c r="A8" s="42"/>
      <c r="B8" s="46"/>
      <c r="C8" s="48"/>
      <c r="D8" s="42"/>
      <c r="E8" s="37" t="s">
        <v>213</v>
      </c>
      <c r="F8" s="8"/>
      <c r="G8" s="8"/>
      <c r="H8" s="9"/>
      <c r="I8" s="9"/>
      <c r="J8" s="9"/>
      <c r="K8" s="9"/>
      <c r="L8" s="9"/>
      <c r="M8" s="9"/>
      <c r="N8" s="9"/>
      <c r="O8" s="9"/>
      <c r="P8" s="9"/>
      <c r="Q8" s="9"/>
      <c r="R8" s="9"/>
      <c r="S8" s="9"/>
      <c r="T8" s="9"/>
      <c r="U8" s="8" t="e">
        <f t="shared" si="0"/>
        <v>#N/A</v>
      </c>
      <c r="V8" s="52" t="e">
        <f>RANK(U8,$U6:$U20,0)</f>
        <v>#N/A</v>
      </c>
      <c r="W8" s="47"/>
      <c r="X8" s="42"/>
      <c r="Y8" s="42" t="s">
        <v>20</v>
      </c>
      <c r="Z8" s="42">
        <v>1</v>
      </c>
      <c r="AA8" s="42"/>
      <c r="AB8" s="56" t="e">
        <f>VLOOKUP(F8, Table28[#All], 2, 0)</f>
        <v>#N/A</v>
      </c>
      <c r="AC8" s="56" t="e">
        <f>VLOOKUP(G8, Table28[#All], 2, 0)</f>
        <v>#N/A</v>
      </c>
      <c r="AD8" s="53"/>
      <c r="AE8" s="54" t="e">
        <f>1/AD9</f>
        <v>#N/A</v>
      </c>
      <c r="AF8" s="54" t="e">
        <f>1/AD10</f>
        <v>#N/A</v>
      </c>
      <c r="AG8" s="54" t="e">
        <f>1/AD11</f>
        <v>#N/A</v>
      </c>
      <c r="AH8" s="54" t="e">
        <f>1/AD12</f>
        <v>#N/A</v>
      </c>
      <c r="AI8" s="54" t="e">
        <f>1/AD13</f>
        <v>#N/A</v>
      </c>
      <c r="AJ8" s="54" t="e">
        <f>1/AD14</f>
        <v>#N/A</v>
      </c>
      <c r="AK8" s="54" t="e">
        <f>1/AD15</f>
        <v>#N/A</v>
      </c>
      <c r="AL8" s="54" t="e">
        <f>1/AD16</f>
        <v>#N/A</v>
      </c>
      <c r="AM8" s="54" t="e">
        <f>1/AD17</f>
        <v>#N/A</v>
      </c>
      <c r="AN8" s="54" t="e">
        <f>1/AD18</f>
        <v>#N/A</v>
      </c>
      <c r="AO8" s="54" t="e">
        <f>1/AD19</f>
        <v>#N/A</v>
      </c>
      <c r="AP8" s="54" t="e">
        <f>1/AD20</f>
        <v>#N/A</v>
      </c>
      <c r="AQ8" s="55" t="e">
        <f t="shared" ref="AQ8:AQ16" si="1">SUM(AB8:AP8)</f>
        <v>#N/A</v>
      </c>
      <c r="AR8" s="42"/>
      <c r="AS8" s="42"/>
      <c r="AT8" s="42"/>
      <c r="AU8" s="42"/>
      <c r="AV8" s="42"/>
      <c r="AW8" s="42"/>
      <c r="AX8" s="42"/>
      <c r="AY8" s="42"/>
      <c r="AZ8" s="42"/>
      <c r="BA8" s="42"/>
      <c r="BB8" s="42"/>
      <c r="BC8" s="42"/>
      <c r="BD8" s="42"/>
      <c r="BE8" s="42"/>
      <c r="BF8" s="42"/>
      <c r="BG8" s="42"/>
      <c r="BH8" s="42"/>
    </row>
    <row r="9" spans="1:60" s="43" customFormat="1" ht="69.95" customHeight="1">
      <c r="A9" s="42"/>
      <c r="B9" s="46"/>
      <c r="C9" s="48"/>
      <c r="D9" s="42"/>
      <c r="E9" s="38" t="s">
        <v>410</v>
      </c>
      <c r="F9" s="8"/>
      <c r="G9" s="8"/>
      <c r="H9" s="10"/>
      <c r="I9" s="9"/>
      <c r="J9" s="9"/>
      <c r="K9" s="9"/>
      <c r="L9" s="9"/>
      <c r="M9" s="9"/>
      <c r="N9" s="9"/>
      <c r="O9" s="9"/>
      <c r="P9" s="9"/>
      <c r="Q9" s="9"/>
      <c r="R9" s="9"/>
      <c r="S9" s="9"/>
      <c r="T9" s="9"/>
      <c r="U9" s="8" t="e">
        <f t="shared" si="0"/>
        <v>#N/A</v>
      </c>
      <c r="V9" s="52" t="e">
        <f>RANK(U9,$U6:$U20,0)</f>
        <v>#N/A</v>
      </c>
      <c r="W9" s="47"/>
      <c r="X9" s="42"/>
      <c r="Y9" s="42" t="s">
        <v>21</v>
      </c>
      <c r="Z9" s="42">
        <v>0.2</v>
      </c>
      <c r="AA9" s="42"/>
      <c r="AB9" s="56" t="e">
        <f>VLOOKUP(F9, Table28[#All], 2, 0)</f>
        <v>#N/A</v>
      </c>
      <c r="AC9" s="56" t="e">
        <f>VLOOKUP(G9, Table28[#All], 2, 0)</f>
        <v>#N/A</v>
      </c>
      <c r="AD9" s="56" t="e">
        <f>VLOOKUP(H9, Table28[#All], 2, 0)</f>
        <v>#N/A</v>
      </c>
      <c r="AE9" s="53"/>
      <c r="AF9" s="54" t="e">
        <f>1/AE10</f>
        <v>#N/A</v>
      </c>
      <c r="AG9" s="54" t="e">
        <f>1/AE11</f>
        <v>#N/A</v>
      </c>
      <c r="AH9" s="54" t="e">
        <f>1/AE12</f>
        <v>#N/A</v>
      </c>
      <c r="AI9" s="54" t="e">
        <f>1/AE13</f>
        <v>#N/A</v>
      </c>
      <c r="AJ9" s="54" t="e">
        <f>1/AE14</f>
        <v>#N/A</v>
      </c>
      <c r="AK9" s="54" t="e">
        <f>1/AE15</f>
        <v>#N/A</v>
      </c>
      <c r="AL9" s="54" t="e">
        <f>1/AE16</f>
        <v>#N/A</v>
      </c>
      <c r="AM9" s="54" t="e">
        <f>1/AE17</f>
        <v>#N/A</v>
      </c>
      <c r="AN9" s="54" t="e">
        <f>1/AE18</f>
        <v>#N/A</v>
      </c>
      <c r="AO9" s="54" t="e">
        <f>1/AE19</f>
        <v>#N/A</v>
      </c>
      <c r="AP9" s="54" t="e">
        <f>1/AE20</f>
        <v>#N/A</v>
      </c>
      <c r="AQ9" s="55" t="e">
        <f t="shared" si="1"/>
        <v>#N/A</v>
      </c>
      <c r="AR9" s="42"/>
      <c r="AS9" s="42"/>
      <c r="AT9" s="42"/>
      <c r="AU9" s="42"/>
      <c r="AV9" s="42"/>
      <c r="AW9" s="42"/>
      <c r="AX9" s="42"/>
      <c r="AY9" s="42"/>
      <c r="AZ9" s="42"/>
      <c r="BA9" s="42"/>
      <c r="BB9" s="42"/>
      <c r="BC9" s="42"/>
      <c r="BD9" s="42"/>
      <c r="BE9" s="42"/>
      <c r="BF9" s="42"/>
      <c r="BG9" s="42"/>
      <c r="BH9" s="42"/>
    </row>
    <row r="10" spans="1:60" s="43" customFormat="1" ht="39.950000000000003" customHeight="1">
      <c r="A10" s="42"/>
      <c r="B10" s="46"/>
      <c r="C10" s="48"/>
      <c r="D10" s="42"/>
      <c r="E10" s="38" t="s">
        <v>215</v>
      </c>
      <c r="F10" s="10"/>
      <c r="G10" s="8"/>
      <c r="H10" s="8"/>
      <c r="I10" s="10"/>
      <c r="J10" s="11"/>
      <c r="K10" s="11"/>
      <c r="L10" s="11"/>
      <c r="M10" s="11"/>
      <c r="N10" s="11"/>
      <c r="O10" s="11"/>
      <c r="P10" s="11"/>
      <c r="Q10" s="11"/>
      <c r="R10" s="11"/>
      <c r="S10" s="11"/>
      <c r="T10" s="11"/>
      <c r="U10" s="8" t="e">
        <f t="shared" si="0"/>
        <v>#N/A</v>
      </c>
      <c r="V10" s="52" t="e">
        <f>RANK(U10,$U6:$U20,0)</f>
        <v>#N/A</v>
      </c>
      <c r="W10" s="47"/>
      <c r="X10" s="42"/>
      <c r="Y10" s="42" t="s">
        <v>22</v>
      </c>
      <c r="Z10" s="42">
        <v>0.1</v>
      </c>
      <c r="AA10" s="42"/>
      <c r="AB10" s="56" t="e">
        <f>VLOOKUP(F10, Table28[#All], 2, 0)</f>
        <v>#N/A</v>
      </c>
      <c r="AC10" s="56" t="e">
        <f>VLOOKUP(G10, Table28[#All], 2, 0)</f>
        <v>#N/A</v>
      </c>
      <c r="AD10" s="56" t="e">
        <f>VLOOKUP(H10, Table28[#All], 2, 0)</f>
        <v>#N/A</v>
      </c>
      <c r="AE10" s="56" t="e">
        <f>VLOOKUP(I10, Table28[#All], 2, 0)</f>
        <v>#N/A</v>
      </c>
      <c r="AF10" s="53"/>
      <c r="AG10" s="54" t="e">
        <f>1/AF11</f>
        <v>#N/A</v>
      </c>
      <c r="AH10" s="54" t="e">
        <f>1/AF12</f>
        <v>#N/A</v>
      </c>
      <c r="AI10" s="54" t="e">
        <f>1/AF13</f>
        <v>#N/A</v>
      </c>
      <c r="AJ10" s="54" t="e">
        <f>1/AF14</f>
        <v>#N/A</v>
      </c>
      <c r="AK10" s="54" t="e">
        <f>1/AF15</f>
        <v>#N/A</v>
      </c>
      <c r="AL10" s="54" t="e">
        <f>1/AF16</f>
        <v>#N/A</v>
      </c>
      <c r="AM10" s="54" t="e">
        <f>1/AF17</f>
        <v>#N/A</v>
      </c>
      <c r="AN10" s="54" t="e">
        <f>1/AF18</f>
        <v>#N/A</v>
      </c>
      <c r="AO10" s="54" t="e">
        <f>1/AF19</f>
        <v>#N/A</v>
      </c>
      <c r="AP10" s="54" t="e">
        <f>1/AF20</f>
        <v>#N/A</v>
      </c>
      <c r="AQ10" s="55" t="e">
        <f t="shared" si="1"/>
        <v>#N/A</v>
      </c>
      <c r="AR10" s="42"/>
      <c r="AS10" s="42"/>
      <c r="AT10" s="42"/>
      <c r="AU10" s="42"/>
      <c r="AV10" s="42"/>
      <c r="AW10" s="42"/>
      <c r="AX10" s="42"/>
      <c r="AY10" s="42"/>
      <c r="AZ10" s="42"/>
      <c r="BA10" s="42"/>
      <c r="BB10" s="42"/>
      <c r="BC10" s="42"/>
      <c r="BD10" s="42"/>
      <c r="BE10" s="42"/>
      <c r="BF10" s="42"/>
      <c r="BG10" s="42"/>
      <c r="BH10" s="42"/>
    </row>
    <row r="11" spans="1:60" s="43" customFormat="1" ht="39.950000000000003" customHeight="1">
      <c r="A11" s="42"/>
      <c r="B11" s="46"/>
      <c r="C11" s="48"/>
      <c r="D11" s="42"/>
      <c r="E11" s="38" t="s">
        <v>216</v>
      </c>
      <c r="F11" s="8"/>
      <c r="G11" s="8"/>
      <c r="H11" s="10"/>
      <c r="I11" s="8"/>
      <c r="J11" s="8"/>
      <c r="K11" s="11"/>
      <c r="L11" s="11"/>
      <c r="M11" s="11"/>
      <c r="N11" s="11"/>
      <c r="O11" s="11"/>
      <c r="P11" s="11"/>
      <c r="Q11" s="11"/>
      <c r="R11" s="11"/>
      <c r="S11" s="11"/>
      <c r="T11" s="11"/>
      <c r="U11" s="8" t="e">
        <f t="shared" si="0"/>
        <v>#N/A</v>
      </c>
      <c r="V11" s="52" t="e">
        <f>RANK(U11,$U6:$U20,0)</f>
        <v>#N/A</v>
      </c>
      <c r="W11" s="47"/>
      <c r="X11" s="42"/>
      <c r="Y11" s="42"/>
      <c r="Z11" s="42"/>
      <c r="AA11" s="42"/>
      <c r="AB11" s="56" t="e">
        <f>VLOOKUP(F11, Table28[#All], 2, 0)</f>
        <v>#N/A</v>
      </c>
      <c r="AC11" s="56" t="e">
        <f>VLOOKUP(G11, Table28[#All], 2, 0)</f>
        <v>#N/A</v>
      </c>
      <c r="AD11" s="56" t="e">
        <f>VLOOKUP(H11, Table28[#All], 2, 0)</f>
        <v>#N/A</v>
      </c>
      <c r="AE11" s="56" t="e">
        <f>VLOOKUP(I11, Table28[#All], 2, 0)</f>
        <v>#N/A</v>
      </c>
      <c r="AF11" s="56" t="e">
        <f>VLOOKUP(J11, Table28[#All], 2, 0)</f>
        <v>#N/A</v>
      </c>
      <c r="AG11" s="53"/>
      <c r="AH11" s="54" t="e">
        <f>1/AG12</f>
        <v>#N/A</v>
      </c>
      <c r="AI11" s="54" t="e">
        <f>1/AG13</f>
        <v>#N/A</v>
      </c>
      <c r="AJ11" s="54" t="e">
        <f>1/AG14</f>
        <v>#N/A</v>
      </c>
      <c r="AK11" s="54" t="e">
        <f>1/AG15</f>
        <v>#N/A</v>
      </c>
      <c r="AL11" s="54" t="e">
        <f t="shared" ref="AL11" si="2">1/AG16</f>
        <v>#N/A</v>
      </c>
      <c r="AM11" s="54" t="e">
        <f>1/AG17</f>
        <v>#N/A</v>
      </c>
      <c r="AN11" s="54" t="e">
        <f>1/AG18</f>
        <v>#N/A</v>
      </c>
      <c r="AO11" s="54" t="e">
        <f>1/AG19</f>
        <v>#N/A</v>
      </c>
      <c r="AP11" s="54" t="e">
        <f>1/AG20</f>
        <v>#N/A</v>
      </c>
      <c r="AQ11" s="55" t="e">
        <f t="shared" si="1"/>
        <v>#N/A</v>
      </c>
      <c r="AR11" s="42"/>
      <c r="AS11" s="42"/>
      <c r="AT11" s="42"/>
      <c r="AU11" s="42"/>
      <c r="AV11" s="42"/>
      <c r="AW11" s="42"/>
      <c r="AX11" s="42"/>
      <c r="AY11" s="42"/>
      <c r="AZ11" s="42"/>
      <c r="BA11" s="42"/>
      <c r="BB11" s="42"/>
      <c r="BC11" s="42"/>
      <c r="BD11" s="42"/>
      <c r="BE11" s="42"/>
      <c r="BF11" s="42"/>
      <c r="BG11" s="42"/>
      <c r="BH11" s="42"/>
    </row>
    <row r="12" spans="1:60" s="43" customFormat="1" ht="48.4" customHeight="1">
      <c r="A12" s="42"/>
      <c r="B12" s="46"/>
      <c r="C12" s="48"/>
      <c r="D12" s="42"/>
      <c r="E12" s="38" t="s">
        <v>217</v>
      </c>
      <c r="F12" s="10"/>
      <c r="G12" s="8"/>
      <c r="H12" s="8"/>
      <c r="I12" s="8"/>
      <c r="J12" s="8"/>
      <c r="K12" s="8"/>
      <c r="L12" s="11"/>
      <c r="M12" s="11"/>
      <c r="N12" s="11"/>
      <c r="O12" s="11"/>
      <c r="P12" s="11"/>
      <c r="Q12" s="11"/>
      <c r="R12" s="11"/>
      <c r="S12" s="11"/>
      <c r="T12" s="11"/>
      <c r="U12" s="8" t="e">
        <f t="shared" si="0"/>
        <v>#N/A</v>
      </c>
      <c r="V12" s="52" t="e">
        <f>RANK(U12,$U6:$U20,0)</f>
        <v>#N/A</v>
      </c>
      <c r="W12" s="47"/>
      <c r="X12" s="42"/>
      <c r="Y12" s="42"/>
      <c r="Z12" s="42"/>
      <c r="AA12" s="42"/>
      <c r="AB12" s="56" t="e">
        <f>VLOOKUP(F12, Table28[#All], 2, 0)</f>
        <v>#N/A</v>
      </c>
      <c r="AC12" s="56" t="e">
        <f>VLOOKUP(G12, Table28[#All], 2, 0)</f>
        <v>#N/A</v>
      </c>
      <c r="AD12" s="56" t="e">
        <f>VLOOKUP(H12, Table28[#All], 2, 0)</f>
        <v>#N/A</v>
      </c>
      <c r="AE12" s="56" t="e">
        <f>VLOOKUP(I12, Table28[#All], 2, 0)</f>
        <v>#N/A</v>
      </c>
      <c r="AF12" s="56" t="e">
        <f>VLOOKUP(J12, Table28[#All], 2, 0)</f>
        <v>#N/A</v>
      </c>
      <c r="AG12" s="56" t="e">
        <f>VLOOKUP(K12, Table28[#All], 2, 0)</f>
        <v>#N/A</v>
      </c>
      <c r="AH12" s="53"/>
      <c r="AI12" s="54" t="e">
        <f>1/AH13</f>
        <v>#N/A</v>
      </c>
      <c r="AJ12" s="54" t="e">
        <f>1/AH14</f>
        <v>#N/A</v>
      </c>
      <c r="AK12" s="54" t="e">
        <f>1/AH15</f>
        <v>#N/A</v>
      </c>
      <c r="AL12" s="54" t="e">
        <f>1/AH16</f>
        <v>#N/A</v>
      </c>
      <c r="AM12" s="54" t="e">
        <f>1/AH17</f>
        <v>#N/A</v>
      </c>
      <c r="AN12" s="54" t="e">
        <f>1/AH18</f>
        <v>#N/A</v>
      </c>
      <c r="AO12" s="54" t="e">
        <f>1/AH19</f>
        <v>#N/A</v>
      </c>
      <c r="AP12" s="54" t="e">
        <f>1/AH20</f>
        <v>#N/A</v>
      </c>
      <c r="AQ12" s="55" t="e">
        <f t="shared" si="1"/>
        <v>#N/A</v>
      </c>
      <c r="AR12" s="42"/>
      <c r="AS12" s="42"/>
      <c r="AT12" s="42"/>
      <c r="AU12" s="42"/>
      <c r="AV12" s="42"/>
      <c r="AW12" s="42"/>
      <c r="AX12" s="42"/>
      <c r="AY12" s="42"/>
      <c r="AZ12" s="42"/>
      <c r="BA12" s="42"/>
      <c r="BB12" s="42"/>
      <c r="BC12" s="42"/>
      <c r="BD12" s="42"/>
      <c r="BE12" s="42"/>
      <c r="BF12" s="42"/>
      <c r="BG12" s="42"/>
      <c r="BH12" s="42"/>
    </row>
    <row r="13" spans="1:60" s="43" customFormat="1" ht="49.5" customHeight="1">
      <c r="A13" s="42"/>
      <c r="B13" s="46"/>
      <c r="C13" s="48"/>
      <c r="D13" s="42"/>
      <c r="E13" s="38" t="s">
        <v>219</v>
      </c>
      <c r="F13" s="10"/>
      <c r="G13" s="10"/>
      <c r="H13" s="10"/>
      <c r="I13" s="8"/>
      <c r="J13" s="8"/>
      <c r="K13" s="10"/>
      <c r="L13" s="10"/>
      <c r="M13" s="12"/>
      <c r="N13" s="12"/>
      <c r="O13" s="12"/>
      <c r="P13" s="12"/>
      <c r="Q13" s="12"/>
      <c r="R13" s="12"/>
      <c r="S13" s="12"/>
      <c r="T13" s="12"/>
      <c r="U13" s="8" t="e">
        <f t="shared" si="0"/>
        <v>#N/A</v>
      </c>
      <c r="V13" s="52" t="e">
        <f>RANK(U13,$U6:$U20,0)</f>
        <v>#N/A</v>
      </c>
      <c r="W13" s="47"/>
      <c r="X13" s="42"/>
      <c r="Y13" s="42"/>
      <c r="Z13" s="42"/>
      <c r="AA13" s="42"/>
      <c r="AB13" s="56" t="e">
        <f>VLOOKUP(F13, Table28[#All], 2, 0)</f>
        <v>#N/A</v>
      </c>
      <c r="AC13" s="56" t="e">
        <f>VLOOKUP(G13, Table28[#All], 2, 0)</f>
        <v>#N/A</v>
      </c>
      <c r="AD13" s="56" t="e">
        <f>VLOOKUP(H13, Table28[#All], 2, 0)</f>
        <v>#N/A</v>
      </c>
      <c r="AE13" s="56" t="e">
        <f>VLOOKUP(I13, Table28[#All], 2, 0)</f>
        <v>#N/A</v>
      </c>
      <c r="AF13" s="56" t="e">
        <f>VLOOKUP(J13, Table28[#All], 2, 0)</f>
        <v>#N/A</v>
      </c>
      <c r="AG13" s="56" t="e">
        <f>VLOOKUP(K13, Table28[#All], 2, 0)</f>
        <v>#N/A</v>
      </c>
      <c r="AH13" s="56" t="e">
        <f>VLOOKUP(L13, Table28[#All], 2, 0)</f>
        <v>#N/A</v>
      </c>
      <c r="AI13" s="66"/>
      <c r="AJ13" s="67" t="e">
        <f>1/AI14</f>
        <v>#N/A</v>
      </c>
      <c r="AK13" s="54" t="e">
        <f>1/AI15</f>
        <v>#N/A</v>
      </c>
      <c r="AL13" s="54" t="e">
        <f>1/AI16</f>
        <v>#N/A</v>
      </c>
      <c r="AM13" s="54" t="e">
        <f>1/AI17</f>
        <v>#N/A</v>
      </c>
      <c r="AN13" s="54" t="e">
        <f>1/AI18</f>
        <v>#N/A</v>
      </c>
      <c r="AO13" s="54" t="e">
        <f>1/AI19</f>
        <v>#N/A</v>
      </c>
      <c r="AP13" s="54" t="e">
        <f>1/AI20</f>
        <v>#N/A</v>
      </c>
      <c r="AQ13" s="55" t="e">
        <f t="shared" si="1"/>
        <v>#N/A</v>
      </c>
      <c r="AR13" s="42"/>
      <c r="AS13" s="42"/>
      <c r="AT13" s="42"/>
      <c r="AU13" s="42"/>
      <c r="AV13" s="42"/>
      <c r="AW13" s="42"/>
      <c r="AX13" s="42"/>
      <c r="AY13" s="42"/>
      <c r="AZ13" s="42"/>
      <c r="BA13" s="42"/>
      <c r="BB13" s="42"/>
      <c r="BC13" s="42"/>
      <c r="BD13" s="42"/>
      <c r="BE13" s="42"/>
      <c r="BF13" s="42"/>
      <c r="BG13" s="42"/>
      <c r="BH13" s="42"/>
    </row>
    <row r="14" spans="1:60" s="43" customFormat="1" ht="39.950000000000003" customHeight="1">
      <c r="A14" s="42"/>
      <c r="B14" s="46"/>
      <c r="C14" s="48"/>
      <c r="D14" s="42"/>
      <c r="E14" s="38" t="s">
        <v>220</v>
      </c>
      <c r="F14" s="8"/>
      <c r="G14" s="8"/>
      <c r="H14" s="10"/>
      <c r="I14" s="8"/>
      <c r="J14" s="8"/>
      <c r="K14" s="8"/>
      <c r="L14" s="10"/>
      <c r="M14" s="10"/>
      <c r="N14" s="12"/>
      <c r="O14" s="12"/>
      <c r="P14" s="12"/>
      <c r="Q14" s="12"/>
      <c r="R14" s="12"/>
      <c r="S14" s="12"/>
      <c r="T14" s="12"/>
      <c r="U14" s="8" t="e">
        <f t="shared" si="0"/>
        <v>#N/A</v>
      </c>
      <c r="V14" s="52" t="e">
        <f>RANK(U14,$U6:$U20,0)</f>
        <v>#N/A</v>
      </c>
      <c r="W14" s="47"/>
      <c r="X14" s="42"/>
      <c r="Y14" s="42"/>
      <c r="Z14" s="42"/>
      <c r="AA14" s="42"/>
      <c r="AB14" s="56" t="e">
        <f>VLOOKUP(F14, Table28[#All], 2, 0)</f>
        <v>#N/A</v>
      </c>
      <c r="AC14" s="56" t="e">
        <f>VLOOKUP(G14, Table28[#All], 2, 0)</f>
        <v>#N/A</v>
      </c>
      <c r="AD14" s="56" t="e">
        <f>VLOOKUP(H14, Table28[#All], 2, 0)</f>
        <v>#N/A</v>
      </c>
      <c r="AE14" s="56" t="e">
        <f>VLOOKUP(I14, Table28[#All], 2, 0)</f>
        <v>#N/A</v>
      </c>
      <c r="AF14" s="56" t="e">
        <f>VLOOKUP(J14, Table28[#All], 2, 0)</f>
        <v>#N/A</v>
      </c>
      <c r="AG14" s="56" t="e">
        <f>VLOOKUP(K14, Table28[#All], 2, 0)</f>
        <v>#N/A</v>
      </c>
      <c r="AH14" s="56" t="e">
        <f>VLOOKUP(L14, Table28[#All], 2, 0)</f>
        <v>#N/A</v>
      </c>
      <c r="AI14" s="56" t="e">
        <f>VLOOKUP(M14, Table28[#All], 2, 0)</f>
        <v>#N/A</v>
      </c>
      <c r="AJ14" s="66"/>
      <c r="AK14" s="54" t="e">
        <f>1/AJ15</f>
        <v>#N/A</v>
      </c>
      <c r="AL14" s="54" t="e">
        <f>1/AJ16</f>
        <v>#N/A</v>
      </c>
      <c r="AM14" s="54" t="e">
        <f>1/AJ17</f>
        <v>#N/A</v>
      </c>
      <c r="AN14" s="54" t="e">
        <f>1/AJ18</f>
        <v>#N/A</v>
      </c>
      <c r="AO14" s="54" t="e">
        <f>1/AJ19</f>
        <v>#N/A</v>
      </c>
      <c r="AP14" s="54" t="e">
        <f>1/AJ20</f>
        <v>#N/A</v>
      </c>
      <c r="AQ14" s="55" t="e">
        <f t="shared" si="1"/>
        <v>#N/A</v>
      </c>
      <c r="AR14" s="42"/>
      <c r="AS14" s="42"/>
      <c r="AT14" s="42"/>
      <c r="AU14" s="42"/>
      <c r="AV14" s="42"/>
      <c r="AW14" s="42"/>
      <c r="AX14" s="42"/>
      <c r="AY14" s="42"/>
      <c r="AZ14" s="42"/>
      <c r="BA14" s="42"/>
      <c r="BB14" s="42"/>
      <c r="BC14" s="42"/>
      <c r="BD14" s="42"/>
      <c r="BE14" s="42"/>
      <c r="BF14" s="42"/>
      <c r="BG14" s="42"/>
      <c r="BH14" s="42"/>
    </row>
    <row r="15" spans="1:60" s="43" customFormat="1" ht="57" customHeight="1">
      <c r="A15" s="42"/>
      <c r="B15" s="46"/>
      <c r="C15" s="48"/>
      <c r="D15" s="42"/>
      <c r="E15" s="38" t="s">
        <v>411</v>
      </c>
      <c r="F15" s="10"/>
      <c r="G15" s="10"/>
      <c r="H15" s="8"/>
      <c r="I15" s="10"/>
      <c r="J15" s="8"/>
      <c r="K15" s="10"/>
      <c r="L15" s="8"/>
      <c r="M15" s="10"/>
      <c r="N15" s="8"/>
      <c r="O15" s="12"/>
      <c r="P15" s="12"/>
      <c r="Q15" s="12"/>
      <c r="R15" s="12"/>
      <c r="S15" s="12"/>
      <c r="T15" s="12"/>
      <c r="U15" s="8" t="e">
        <f t="shared" si="0"/>
        <v>#N/A</v>
      </c>
      <c r="V15" s="52" t="e">
        <f>RANK(U15,$U6:$U20,0)</f>
        <v>#N/A</v>
      </c>
      <c r="W15" s="47"/>
      <c r="X15" s="42"/>
      <c r="Y15" s="42"/>
      <c r="Z15" s="42"/>
      <c r="AA15" s="42"/>
      <c r="AB15" s="56" t="e">
        <f>VLOOKUP(F15, Table28[#All], 2, 0)</f>
        <v>#N/A</v>
      </c>
      <c r="AC15" s="56" t="e">
        <f>VLOOKUP(G15, Table28[#All], 2, 0)</f>
        <v>#N/A</v>
      </c>
      <c r="AD15" s="56" t="e">
        <f>VLOOKUP(H15, Table28[#All], 2, 0)</f>
        <v>#N/A</v>
      </c>
      <c r="AE15" s="56" t="e">
        <f>VLOOKUP(I15, Table28[#All], 2, 0)</f>
        <v>#N/A</v>
      </c>
      <c r="AF15" s="56" t="e">
        <f>VLOOKUP(J15, Table28[#All], 2, 0)</f>
        <v>#N/A</v>
      </c>
      <c r="AG15" s="56" t="e">
        <f>VLOOKUP(K15, Table28[#All], 2, 0)</f>
        <v>#N/A</v>
      </c>
      <c r="AH15" s="56" t="e">
        <f>VLOOKUP(L15, Table28[#All], 2, 0)</f>
        <v>#N/A</v>
      </c>
      <c r="AI15" s="56" t="e">
        <f>VLOOKUP(M15, Table28[#All], 2, 0)</f>
        <v>#N/A</v>
      </c>
      <c r="AJ15" s="56" t="e">
        <f>VLOOKUP(N15, Table28[#All], 2, 0)</f>
        <v>#N/A</v>
      </c>
      <c r="AK15" s="58"/>
      <c r="AL15" s="54" t="e">
        <f>1/AK16</f>
        <v>#N/A</v>
      </c>
      <c r="AM15" s="54" t="e">
        <f>1/AK17</f>
        <v>#N/A</v>
      </c>
      <c r="AN15" s="54" t="e">
        <f>1/AK18</f>
        <v>#N/A</v>
      </c>
      <c r="AO15" s="54" t="e">
        <f>1/AK19</f>
        <v>#N/A</v>
      </c>
      <c r="AP15" s="54" t="e">
        <f>1/AK20</f>
        <v>#N/A</v>
      </c>
      <c r="AQ15" s="55" t="e">
        <f t="shared" si="1"/>
        <v>#N/A</v>
      </c>
      <c r="AR15" s="42"/>
      <c r="AS15" s="42"/>
      <c r="AT15" s="42"/>
      <c r="AU15" s="42"/>
      <c r="AV15" s="42"/>
      <c r="AW15" s="42"/>
      <c r="AX15" s="42"/>
      <c r="AY15" s="42"/>
      <c r="AZ15" s="42"/>
      <c r="BA15" s="42"/>
      <c r="BB15" s="42"/>
      <c r="BC15" s="42"/>
      <c r="BD15" s="42"/>
      <c r="BE15" s="42"/>
      <c r="BF15" s="42"/>
      <c r="BG15" s="42"/>
      <c r="BH15" s="42"/>
    </row>
    <row r="16" spans="1:60" s="43" customFormat="1" ht="51" customHeight="1">
      <c r="A16" s="42"/>
      <c r="B16" s="46"/>
      <c r="C16" s="48"/>
      <c r="D16" s="42"/>
      <c r="E16" s="38" t="s">
        <v>222</v>
      </c>
      <c r="F16" s="8"/>
      <c r="G16" s="10"/>
      <c r="H16" s="10"/>
      <c r="I16" s="8"/>
      <c r="J16" s="8"/>
      <c r="K16" s="8"/>
      <c r="L16" s="10"/>
      <c r="M16" s="8"/>
      <c r="N16" s="8"/>
      <c r="O16" s="8"/>
      <c r="P16" s="12"/>
      <c r="Q16" s="12"/>
      <c r="R16" s="12"/>
      <c r="S16" s="12"/>
      <c r="T16" s="12"/>
      <c r="U16" s="8" t="e">
        <f t="shared" si="0"/>
        <v>#N/A</v>
      </c>
      <c r="V16" s="52" t="e">
        <f>RANK(U16,$U6:$U20,0)</f>
        <v>#N/A</v>
      </c>
      <c r="W16" s="47"/>
      <c r="X16" s="42"/>
      <c r="Y16" s="42"/>
      <c r="Z16" s="42"/>
      <c r="AA16" s="42"/>
      <c r="AB16" s="56" t="e">
        <f>VLOOKUP(F16, Table28[#All], 2, 0)</f>
        <v>#N/A</v>
      </c>
      <c r="AC16" s="56" t="e">
        <f>VLOOKUP(G16, Table28[#All], 2, 0)</f>
        <v>#N/A</v>
      </c>
      <c r="AD16" s="56" t="e">
        <f>VLOOKUP(H16, Table28[#All], 2, 0)</f>
        <v>#N/A</v>
      </c>
      <c r="AE16" s="56" t="e">
        <f>VLOOKUP(I16, Table28[#All], 2, 0)</f>
        <v>#N/A</v>
      </c>
      <c r="AF16" s="56" t="e">
        <f>VLOOKUP(J16, Table28[#All], 2, 0)</f>
        <v>#N/A</v>
      </c>
      <c r="AG16" s="56" t="e">
        <f>VLOOKUP(K16, Table28[#All], 2, 0)</f>
        <v>#N/A</v>
      </c>
      <c r="AH16" s="56" t="e">
        <f>VLOOKUP(L16, Table28[#All], 2, 0)</f>
        <v>#N/A</v>
      </c>
      <c r="AI16" s="56" t="e">
        <f>VLOOKUP(M16, Table28[#All], 2, 0)</f>
        <v>#N/A</v>
      </c>
      <c r="AJ16" s="56" t="e">
        <f>VLOOKUP(N16, Table28[#All], 2, 0)</f>
        <v>#N/A</v>
      </c>
      <c r="AK16" s="56" t="e">
        <f>VLOOKUP(O16, Table28[#All], 2, 0)</f>
        <v>#N/A</v>
      </c>
      <c r="AL16" s="58"/>
      <c r="AM16" s="68" t="e">
        <f>1/AL17</f>
        <v>#N/A</v>
      </c>
      <c r="AN16" s="68" t="e">
        <f>1/AL18</f>
        <v>#N/A</v>
      </c>
      <c r="AO16" s="54" t="e">
        <f>1/AL19</f>
        <v>#N/A</v>
      </c>
      <c r="AP16" s="54" t="e">
        <f>1/AL20</f>
        <v>#N/A</v>
      </c>
      <c r="AQ16" s="55" t="e">
        <f t="shared" si="1"/>
        <v>#N/A</v>
      </c>
      <c r="AR16" s="42"/>
      <c r="AS16" s="42"/>
      <c r="AT16" s="42"/>
      <c r="AU16" s="42"/>
      <c r="AV16" s="42"/>
      <c r="AW16" s="42"/>
      <c r="AX16" s="42"/>
      <c r="AY16" s="42"/>
      <c r="AZ16" s="42"/>
      <c r="BA16" s="42"/>
      <c r="BB16" s="42"/>
      <c r="BC16" s="42"/>
      <c r="BD16" s="42"/>
      <c r="BE16" s="42"/>
      <c r="BF16" s="42"/>
      <c r="BG16" s="42"/>
      <c r="BH16" s="42"/>
    </row>
    <row r="17" spans="1:60" s="43" customFormat="1" ht="39.950000000000003" customHeight="1" thickBot="1">
      <c r="A17" s="42"/>
      <c r="B17" s="46"/>
      <c r="C17" s="61"/>
      <c r="D17" s="42"/>
      <c r="E17" s="38" t="s">
        <v>224</v>
      </c>
      <c r="F17" s="8"/>
      <c r="G17" s="10"/>
      <c r="H17" s="10"/>
      <c r="I17" s="8"/>
      <c r="J17" s="8"/>
      <c r="K17" s="8"/>
      <c r="L17" s="10"/>
      <c r="M17" s="8"/>
      <c r="N17" s="8"/>
      <c r="O17" s="8"/>
      <c r="P17" s="8"/>
      <c r="Q17" s="12"/>
      <c r="R17" s="12"/>
      <c r="S17" s="12"/>
      <c r="T17" s="12"/>
      <c r="U17" s="8" t="e">
        <f t="shared" si="0"/>
        <v>#N/A</v>
      </c>
      <c r="V17" s="52" t="e">
        <f>RANK(U17,$U6:$U20,0)</f>
        <v>#N/A</v>
      </c>
      <c r="W17" s="47"/>
      <c r="X17" s="42"/>
      <c r="Y17" s="42"/>
      <c r="Z17" s="42"/>
      <c r="AA17" s="42"/>
      <c r="AB17" s="56" t="e">
        <f>VLOOKUP(F17, Table28[#All], 2, 0)</f>
        <v>#N/A</v>
      </c>
      <c r="AC17" s="56" t="e">
        <f>VLOOKUP(G17, Table28[#All], 2, 0)</f>
        <v>#N/A</v>
      </c>
      <c r="AD17" s="56" t="e">
        <f>VLOOKUP(H17, Table28[#All], 2, 0)</f>
        <v>#N/A</v>
      </c>
      <c r="AE17" s="56" t="e">
        <f>VLOOKUP(I17, Table28[#All], 2, 0)</f>
        <v>#N/A</v>
      </c>
      <c r="AF17" s="56" t="e">
        <f>VLOOKUP(J17, Table28[#All], 2, 0)</f>
        <v>#N/A</v>
      </c>
      <c r="AG17" s="56" t="e">
        <f>VLOOKUP(K17, Table28[#All], 2, 0)</f>
        <v>#N/A</v>
      </c>
      <c r="AH17" s="56" t="e">
        <f>VLOOKUP(L17, Table28[#All], 2, 0)</f>
        <v>#N/A</v>
      </c>
      <c r="AI17" s="56" t="e">
        <f>VLOOKUP(M17, Table28[#All], 2, 0)</f>
        <v>#N/A</v>
      </c>
      <c r="AJ17" s="56" t="e">
        <f>VLOOKUP(N17, Table28[#All], 2, 0)</f>
        <v>#N/A</v>
      </c>
      <c r="AK17" s="56" t="e">
        <f>VLOOKUP(O17, Table28[#All], 2, 0)</f>
        <v>#N/A</v>
      </c>
      <c r="AL17" s="56" t="e">
        <f>VLOOKUP(P17, Table28[#All], 2, 0)</f>
        <v>#N/A</v>
      </c>
      <c r="AM17" s="58"/>
      <c r="AN17" s="54" t="e">
        <f>1/AM18</f>
        <v>#N/A</v>
      </c>
      <c r="AO17" s="54" t="e">
        <f>1/AM19</f>
        <v>#N/A</v>
      </c>
      <c r="AP17" s="54" t="e">
        <f>1/AM20</f>
        <v>#N/A</v>
      </c>
      <c r="AQ17" s="55" t="e">
        <f t="shared" ref="AQ17:AQ20" si="3">SUM(AB17:AP17)</f>
        <v>#N/A</v>
      </c>
      <c r="AR17" s="42"/>
      <c r="AS17" s="42"/>
      <c r="AT17" s="42"/>
      <c r="AU17" s="42"/>
      <c r="AV17" s="42"/>
      <c r="AW17" s="42"/>
      <c r="AX17" s="42"/>
      <c r="AY17" s="42"/>
      <c r="AZ17" s="42"/>
      <c r="BA17" s="42"/>
      <c r="BB17" s="42"/>
      <c r="BC17" s="42"/>
      <c r="BD17" s="42"/>
      <c r="BE17" s="42"/>
      <c r="BF17" s="42"/>
      <c r="BG17" s="42"/>
      <c r="BH17" s="42"/>
    </row>
    <row r="18" spans="1:60" s="43" customFormat="1" ht="39.950000000000003" customHeight="1">
      <c r="A18" s="42"/>
      <c r="B18" s="46"/>
      <c r="C18" s="69"/>
      <c r="D18" s="42"/>
      <c r="E18" s="38" t="s">
        <v>225</v>
      </c>
      <c r="F18" s="8"/>
      <c r="G18" s="10"/>
      <c r="H18" s="10"/>
      <c r="I18" s="8"/>
      <c r="J18" s="8"/>
      <c r="K18" s="8"/>
      <c r="L18" s="10"/>
      <c r="M18" s="8"/>
      <c r="N18" s="8"/>
      <c r="O18" s="8"/>
      <c r="P18" s="8"/>
      <c r="Q18" s="8"/>
      <c r="R18" s="9"/>
      <c r="S18" s="12"/>
      <c r="T18" s="12"/>
      <c r="U18" s="8" t="e">
        <f t="shared" si="0"/>
        <v>#N/A</v>
      </c>
      <c r="V18" s="52" t="e">
        <f>RANK(U18,$U6:$U20,0)</f>
        <v>#N/A</v>
      </c>
      <c r="W18" s="47"/>
      <c r="X18" s="42"/>
      <c r="Y18" s="42"/>
      <c r="Z18" s="42"/>
      <c r="AA18" s="42"/>
      <c r="AB18" s="56" t="e">
        <f>VLOOKUP(F18, Table28[#All], 2, 0)</f>
        <v>#N/A</v>
      </c>
      <c r="AC18" s="56" t="e">
        <f>VLOOKUP(G18, Table28[#All], 2, 0)</f>
        <v>#N/A</v>
      </c>
      <c r="AD18" s="56" t="e">
        <f>VLOOKUP(H18, Table28[#All], 2, 0)</f>
        <v>#N/A</v>
      </c>
      <c r="AE18" s="56" t="e">
        <f>VLOOKUP(I18, Table28[#All], 2, 0)</f>
        <v>#N/A</v>
      </c>
      <c r="AF18" s="56" t="e">
        <f>VLOOKUP(J18, Table28[#All], 2, 0)</f>
        <v>#N/A</v>
      </c>
      <c r="AG18" s="56" t="e">
        <f>VLOOKUP(K18, Table28[#All], 2, 0)</f>
        <v>#N/A</v>
      </c>
      <c r="AH18" s="56" t="e">
        <f>VLOOKUP(L18, Table28[#All], 2, 0)</f>
        <v>#N/A</v>
      </c>
      <c r="AI18" s="56" t="e">
        <f>VLOOKUP(M18, Table28[#All], 2, 0)</f>
        <v>#N/A</v>
      </c>
      <c r="AJ18" s="56" t="e">
        <f>VLOOKUP(N18, Table28[#All], 2, 0)</f>
        <v>#N/A</v>
      </c>
      <c r="AK18" s="56" t="e">
        <f>VLOOKUP(O18, Table28[#All], 2, 0)</f>
        <v>#N/A</v>
      </c>
      <c r="AL18" s="56" t="e">
        <f>VLOOKUP(P18, Table28[#All], 2, 0)</f>
        <v>#N/A</v>
      </c>
      <c r="AM18" s="56" t="e">
        <f>VLOOKUP(Q18, Table28[#All], 2, 0)</f>
        <v>#N/A</v>
      </c>
      <c r="AN18" s="53"/>
      <c r="AO18" s="54" t="e">
        <f>1/AN19</f>
        <v>#N/A</v>
      </c>
      <c r="AP18" s="54" t="e">
        <f>1/AN20</f>
        <v>#N/A</v>
      </c>
      <c r="AQ18" s="55" t="e">
        <f t="shared" si="3"/>
        <v>#N/A</v>
      </c>
      <c r="AR18" s="42"/>
      <c r="AS18" s="42"/>
      <c r="AT18" s="42"/>
      <c r="AU18" s="42"/>
      <c r="AV18" s="42"/>
      <c r="AW18" s="42"/>
      <c r="AX18" s="42"/>
      <c r="AY18" s="42"/>
      <c r="AZ18" s="42"/>
      <c r="BA18" s="42"/>
      <c r="BB18" s="42"/>
      <c r="BC18" s="42"/>
      <c r="BD18" s="42"/>
      <c r="BE18" s="42"/>
      <c r="BF18" s="42"/>
      <c r="BG18" s="42"/>
      <c r="BH18" s="42"/>
    </row>
    <row r="19" spans="1:60" s="43" customFormat="1" ht="60" customHeight="1">
      <c r="A19" s="42"/>
      <c r="B19" s="46"/>
      <c r="C19" s="69"/>
      <c r="D19" s="42"/>
      <c r="E19" s="38" t="s">
        <v>226</v>
      </c>
      <c r="F19" s="8"/>
      <c r="G19" s="10"/>
      <c r="H19" s="10"/>
      <c r="I19" s="8"/>
      <c r="J19" s="8"/>
      <c r="K19" s="8"/>
      <c r="L19" s="10"/>
      <c r="M19" s="8"/>
      <c r="N19" s="8"/>
      <c r="O19" s="8"/>
      <c r="P19" s="8"/>
      <c r="Q19" s="8"/>
      <c r="R19" s="8"/>
      <c r="S19" s="12"/>
      <c r="T19" s="12"/>
      <c r="U19" s="8" t="e">
        <f t="shared" si="0"/>
        <v>#N/A</v>
      </c>
      <c r="V19" s="52" t="e">
        <f>RANK(U19,$U6:$U20,0)</f>
        <v>#N/A</v>
      </c>
      <c r="W19" s="47"/>
      <c r="X19" s="42"/>
      <c r="Y19" s="42"/>
      <c r="Z19" s="42"/>
      <c r="AA19" s="42"/>
      <c r="AB19" s="56" t="e">
        <f>VLOOKUP(F19, Table28[#All], 2, 0)</f>
        <v>#N/A</v>
      </c>
      <c r="AC19" s="56" t="e">
        <f>VLOOKUP(G19, Table28[#All], 2, 0)</f>
        <v>#N/A</v>
      </c>
      <c r="AD19" s="56" t="e">
        <f>VLOOKUP(H19, Table28[#All], 2, 0)</f>
        <v>#N/A</v>
      </c>
      <c r="AE19" s="56" t="e">
        <f>VLOOKUP(I19, Table28[#All], 2, 0)</f>
        <v>#N/A</v>
      </c>
      <c r="AF19" s="56" t="e">
        <f>VLOOKUP(J19, Table28[#All], 2, 0)</f>
        <v>#N/A</v>
      </c>
      <c r="AG19" s="56" t="e">
        <f>VLOOKUP(K19, Table28[#All], 2, 0)</f>
        <v>#N/A</v>
      </c>
      <c r="AH19" s="56" t="e">
        <f>VLOOKUP(L19, Table28[#All], 2, 0)</f>
        <v>#N/A</v>
      </c>
      <c r="AI19" s="56" t="e">
        <f>VLOOKUP(M19, Table28[#All], 2, 0)</f>
        <v>#N/A</v>
      </c>
      <c r="AJ19" s="56" t="e">
        <f>VLOOKUP(N19, Table28[#All], 2, 0)</f>
        <v>#N/A</v>
      </c>
      <c r="AK19" s="56" t="e">
        <f>VLOOKUP(O19, Table28[#All], 2, 0)</f>
        <v>#N/A</v>
      </c>
      <c r="AL19" s="56" t="e">
        <f>VLOOKUP(P19, Table28[#All], 2, 0)</f>
        <v>#N/A</v>
      </c>
      <c r="AM19" s="56" t="e">
        <f>VLOOKUP(Q19, Table28[#All], 2, 0)</f>
        <v>#N/A</v>
      </c>
      <c r="AN19" s="56" t="e">
        <f>VLOOKUP(R19, Table28[#All], 2, 0)</f>
        <v>#N/A</v>
      </c>
      <c r="AO19" s="53"/>
      <c r="AP19" s="54" t="e">
        <f>1/AO20</f>
        <v>#N/A</v>
      </c>
      <c r="AQ19" s="55" t="e">
        <f t="shared" si="3"/>
        <v>#N/A</v>
      </c>
      <c r="AR19" s="42"/>
      <c r="AS19" s="42"/>
      <c r="AT19" s="42"/>
      <c r="AU19" s="42"/>
      <c r="AV19" s="42"/>
      <c r="AW19" s="42"/>
      <c r="AX19" s="42"/>
      <c r="AY19" s="42"/>
      <c r="AZ19" s="42"/>
      <c r="BA19" s="42"/>
      <c r="BB19" s="42"/>
      <c r="BC19" s="42"/>
      <c r="BD19" s="42"/>
      <c r="BE19" s="42"/>
      <c r="BF19" s="42"/>
      <c r="BG19" s="42"/>
      <c r="BH19" s="42"/>
    </row>
    <row r="20" spans="1:60" s="43" customFormat="1" ht="64.5" customHeight="1" thickBot="1">
      <c r="A20" s="42"/>
      <c r="B20" s="46"/>
      <c r="C20" s="42"/>
      <c r="D20" s="42"/>
      <c r="E20" s="39" t="s">
        <v>229</v>
      </c>
      <c r="F20" s="13"/>
      <c r="G20" s="5"/>
      <c r="H20" s="5"/>
      <c r="I20" s="13"/>
      <c r="J20" s="13"/>
      <c r="K20" s="13"/>
      <c r="L20" s="5"/>
      <c r="M20" s="13"/>
      <c r="N20" s="13"/>
      <c r="O20" s="13"/>
      <c r="P20" s="13"/>
      <c r="Q20" s="13"/>
      <c r="R20" s="13"/>
      <c r="S20" s="13"/>
      <c r="T20" s="6"/>
      <c r="U20" s="13" t="e">
        <f t="shared" si="0"/>
        <v>#N/A</v>
      </c>
      <c r="V20" s="57" t="e">
        <f>RANK(U20,$U6:$U20,0)</f>
        <v>#N/A</v>
      </c>
      <c r="W20" s="47"/>
      <c r="X20" s="42"/>
      <c r="Y20" s="42"/>
      <c r="Z20" s="42"/>
      <c r="AA20" s="42"/>
      <c r="AB20" s="56" t="e">
        <f>VLOOKUP(F20, Table28[#All], 2, 0)</f>
        <v>#N/A</v>
      </c>
      <c r="AC20" s="56" t="e">
        <f>VLOOKUP(G20, Table28[#All], 2, 0)</f>
        <v>#N/A</v>
      </c>
      <c r="AD20" s="56" t="e">
        <f>VLOOKUP(H20, Table28[#All], 2, 0)</f>
        <v>#N/A</v>
      </c>
      <c r="AE20" s="56" t="e">
        <f>VLOOKUP(I20, Table28[#All], 2, 0)</f>
        <v>#N/A</v>
      </c>
      <c r="AF20" s="56" t="e">
        <f>VLOOKUP(J20, Table28[#All], 2, 0)</f>
        <v>#N/A</v>
      </c>
      <c r="AG20" s="56" t="e">
        <f>VLOOKUP(K20, Table28[#All], 2, 0)</f>
        <v>#N/A</v>
      </c>
      <c r="AH20" s="56" t="e">
        <f>VLOOKUP(L20, Table28[#All], 2, 0)</f>
        <v>#N/A</v>
      </c>
      <c r="AI20" s="56" t="e">
        <f>VLOOKUP(M20, Table28[#All], 2, 0)</f>
        <v>#N/A</v>
      </c>
      <c r="AJ20" s="56" t="e">
        <f>VLOOKUP(N20, Table28[#All], 2, 0)</f>
        <v>#N/A</v>
      </c>
      <c r="AK20" s="56" t="e">
        <f>VLOOKUP(O20, Table28[#All], 2, 0)</f>
        <v>#N/A</v>
      </c>
      <c r="AL20" s="56" t="e">
        <f>VLOOKUP(P20, Table28[#All], 2, 0)</f>
        <v>#N/A</v>
      </c>
      <c r="AM20" s="56" t="e">
        <f>VLOOKUP(Q20, Table28[#All], 2, 0)</f>
        <v>#N/A</v>
      </c>
      <c r="AN20" s="56" t="e">
        <f>VLOOKUP(R20, Table28[#All], 2, 0)</f>
        <v>#N/A</v>
      </c>
      <c r="AO20" s="56" t="e">
        <f>VLOOKUP(S20, Table28[#All], 2, 0)</f>
        <v>#N/A</v>
      </c>
      <c r="AP20" s="53"/>
      <c r="AQ20" s="55" t="e">
        <f t="shared" si="3"/>
        <v>#N/A</v>
      </c>
      <c r="AR20" s="42"/>
      <c r="AS20" s="42"/>
      <c r="AT20" s="42"/>
      <c r="AU20" s="42"/>
      <c r="AV20" s="42"/>
      <c r="AW20" s="42"/>
      <c r="AX20" s="42"/>
      <c r="AY20" s="42"/>
      <c r="AZ20" s="42"/>
      <c r="BA20" s="42"/>
      <c r="BB20" s="42"/>
      <c r="BC20" s="42"/>
      <c r="BD20" s="42"/>
      <c r="BE20" s="42"/>
      <c r="BF20" s="42"/>
      <c r="BG20" s="42"/>
      <c r="BH20" s="42"/>
    </row>
    <row r="21" spans="1:60" s="43" customFormat="1" ht="16.5" thickBot="1">
      <c r="A21" s="42"/>
      <c r="B21" s="62"/>
      <c r="C21" s="63"/>
      <c r="D21" s="63"/>
      <c r="E21" s="70"/>
      <c r="F21" s="33"/>
      <c r="G21" s="33"/>
      <c r="H21" s="33"/>
      <c r="I21" s="33"/>
      <c r="J21" s="33"/>
      <c r="K21" s="33"/>
      <c r="L21" s="33"/>
      <c r="M21" s="33"/>
      <c r="N21" s="33"/>
      <c r="O21" s="33"/>
      <c r="P21" s="33"/>
      <c r="Q21" s="33"/>
      <c r="R21" s="33"/>
      <c r="S21" s="33"/>
      <c r="T21" s="33"/>
      <c r="U21" s="63"/>
      <c r="V21" s="63"/>
      <c r="W21" s="64"/>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row>
    <row r="22" spans="1:60" s="43" customFormat="1">
      <c r="A22" s="42"/>
      <c r="B22" s="42"/>
      <c r="C22" s="42"/>
      <c r="D22" s="42"/>
      <c r="E22" s="42"/>
      <c r="F22" s="31"/>
      <c r="G22" s="31"/>
      <c r="H22" s="31"/>
      <c r="I22" s="31"/>
      <c r="J22" s="31"/>
      <c r="K22" s="31"/>
      <c r="L22" s="31"/>
      <c r="M22" s="31"/>
      <c r="N22" s="31"/>
      <c r="O22" s="31"/>
      <c r="P22" s="31"/>
      <c r="Q22" s="31"/>
      <c r="R22" s="31"/>
      <c r="S22" s="31"/>
      <c r="T22" s="31"/>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row>
    <row r="23" spans="1:60" s="43" customFormat="1">
      <c r="A23" s="42"/>
      <c r="B23" s="42"/>
      <c r="C23" s="42"/>
      <c r="D23" s="42"/>
      <c r="E23" s="71"/>
      <c r="F23" s="31"/>
      <c r="G23" s="31"/>
      <c r="H23" s="31"/>
      <c r="I23" s="31"/>
      <c r="J23" s="31"/>
      <c r="K23" s="31"/>
      <c r="L23" s="31"/>
      <c r="M23" s="31"/>
      <c r="N23" s="31"/>
      <c r="O23" s="31"/>
      <c r="P23" s="31"/>
      <c r="Q23" s="31"/>
      <c r="R23" s="31"/>
      <c r="S23" s="31"/>
      <c r="T23" s="31"/>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row>
    <row r="24" spans="1:60" s="43" customFormat="1">
      <c r="A24" s="42"/>
      <c r="B24" s="42"/>
      <c r="C24" s="42"/>
      <c r="D24" s="42"/>
      <c r="E24" s="42"/>
      <c r="F24" s="72"/>
      <c r="G24" s="72"/>
      <c r="H24" s="72"/>
      <c r="I24" s="72"/>
      <c r="J24" s="72"/>
      <c r="K24" s="72"/>
      <c r="L24" s="72"/>
      <c r="M24" s="72"/>
      <c r="N24" s="72"/>
      <c r="O24" s="72"/>
      <c r="P24" s="72"/>
      <c r="Q24" s="72"/>
      <c r="R24" s="72"/>
      <c r="S24" s="72"/>
      <c r="T24" s="72"/>
      <c r="U24" s="73"/>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row>
    <row r="25" spans="1:60" s="43" customFormat="1">
      <c r="A25" s="42"/>
      <c r="B25" s="42"/>
      <c r="C25" s="42"/>
      <c r="D25" s="42"/>
      <c r="E25" s="71"/>
      <c r="F25" s="72"/>
      <c r="G25" s="72"/>
      <c r="H25" s="72"/>
      <c r="I25" s="72"/>
      <c r="J25" s="72"/>
      <c r="K25" s="72"/>
      <c r="L25" s="72"/>
      <c r="M25" s="72"/>
      <c r="N25" s="72"/>
      <c r="O25" s="72"/>
      <c r="P25" s="72"/>
      <c r="Q25" s="72"/>
      <c r="R25" s="72"/>
      <c r="S25" s="72"/>
      <c r="T25" s="72"/>
      <c r="U25" s="73"/>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row>
    <row r="26" spans="1:60" s="43" customFormat="1">
      <c r="A26" s="42"/>
      <c r="B26" s="42"/>
      <c r="C26" s="42"/>
      <c r="D26" s="42"/>
      <c r="E26" s="31"/>
      <c r="F26" s="72"/>
      <c r="G26" s="72"/>
      <c r="H26" s="72"/>
      <c r="I26" s="72"/>
      <c r="J26" s="72"/>
      <c r="K26" s="72"/>
      <c r="L26" s="72"/>
      <c r="M26" s="72"/>
      <c r="N26" s="72"/>
      <c r="O26" s="72"/>
      <c r="P26" s="72"/>
      <c r="Q26" s="72"/>
      <c r="R26" s="72"/>
      <c r="S26" s="72"/>
      <c r="T26" s="72"/>
      <c r="U26" s="73"/>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row>
    <row r="27" spans="1:60" s="43" customFormat="1">
      <c r="A27" s="42"/>
      <c r="B27" s="42"/>
      <c r="C27" s="42"/>
      <c r="D27" s="42"/>
      <c r="E27" s="31"/>
      <c r="F27" s="72"/>
      <c r="G27" s="72"/>
      <c r="H27" s="72"/>
      <c r="I27" s="72"/>
      <c r="J27" s="72"/>
      <c r="K27" s="72"/>
      <c r="L27" s="72"/>
      <c r="M27" s="72"/>
      <c r="N27" s="72"/>
      <c r="O27" s="72"/>
      <c r="P27" s="72"/>
      <c r="Q27" s="72"/>
      <c r="R27" s="72"/>
      <c r="S27" s="72"/>
      <c r="T27" s="72"/>
      <c r="U27" s="73"/>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row>
    <row r="28" spans="1:60" s="43" customFormat="1">
      <c r="A28" s="42"/>
      <c r="B28" s="42"/>
      <c r="C28" s="42"/>
      <c r="D28" s="42"/>
      <c r="E28" s="7"/>
      <c r="F28" s="72"/>
      <c r="G28" s="72"/>
      <c r="H28" s="72"/>
      <c r="I28" s="72"/>
      <c r="J28" s="72"/>
      <c r="K28" s="72"/>
      <c r="L28" s="72"/>
      <c r="M28" s="72"/>
      <c r="N28" s="72"/>
      <c r="O28" s="72"/>
      <c r="P28" s="72"/>
      <c r="Q28" s="72"/>
      <c r="R28" s="72"/>
      <c r="S28" s="72"/>
      <c r="T28" s="72"/>
      <c r="U28" s="73"/>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row>
    <row r="29" spans="1:60" s="43" customFormat="1">
      <c r="A29" s="42"/>
      <c r="B29" s="42"/>
      <c r="C29" s="42"/>
      <c r="D29" s="42"/>
      <c r="E29" s="31"/>
      <c r="F29" s="31"/>
      <c r="G29" s="31"/>
      <c r="H29" s="31"/>
      <c r="I29" s="31"/>
      <c r="J29" s="31"/>
      <c r="K29" s="31"/>
      <c r="L29" s="31"/>
      <c r="M29" s="31"/>
      <c r="N29" s="31"/>
      <c r="O29" s="31"/>
      <c r="P29" s="31"/>
      <c r="Q29" s="31"/>
      <c r="R29" s="31"/>
      <c r="S29" s="31"/>
      <c r="T29" s="31"/>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row>
    <row r="30" spans="1:60" s="43" customFormat="1">
      <c r="A30" s="42"/>
      <c r="B30" s="42"/>
      <c r="D30" s="42"/>
      <c r="E30" s="31"/>
      <c r="F30" s="31"/>
      <c r="G30" s="31"/>
      <c r="H30" s="31"/>
      <c r="I30" s="31"/>
      <c r="J30" s="31"/>
      <c r="K30" s="31"/>
      <c r="L30" s="31"/>
      <c r="M30" s="31"/>
      <c r="N30" s="31"/>
      <c r="O30" s="31"/>
      <c r="P30" s="31"/>
      <c r="Q30" s="31"/>
      <c r="R30" s="31"/>
      <c r="S30" s="31"/>
      <c r="T30" s="31"/>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row>
    <row r="31" spans="1:60" s="43" customFormat="1">
      <c r="A31" s="42"/>
      <c r="B31" s="42"/>
      <c r="C31" s="42"/>
      <c r="D31" s="42"/>
      <c r="E31" s="31"/>
      <c r="F31" s="31"/>
      <c r="G31" s="31"/>
      <c r="H31" s="31"/>
      <c r="I31" s="31"/>
      <c r="J31" s="31"/>
      <c r="K31" s="31"/>
      <c r="L31" s="31"/>
      <c r="M31" s="31"/>
      <c r="N31" s="31"/>
      <c r="O31" s="31"/>
      <c r="P31" s="31"/>
      <c r="Q31" s="31"/>
      <c r="R31" s="31"/>
      <c r="S31" s="31"/>
      <c r="T31" s="31"/>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row>
    <row r="32" spans="1:60" s="43" customFormat="1">
      <c r="A32" s="42"/>
      <c r="B32" s="42"/>
      <c r="C32" s="42"/>
      <c r="D32" s="42"/>
      <c r="E32" s="31"/>
      <c r="F32" s="31"/>
      <c r="G32" s="31"/>
      <c r="H32" s="31"/>
      <c r="I32" s="31"/>
      <c r="J32" s="31"/>
      <c r="K32" s="31"/>
      <c r="L32" s="31"/>
      <c r="M32" s="31"/>
      <c r="N32" s="31"/>
      <c r="O32" s="31"/>
      <c r="P32" s="31"/>
      <c r="Q32" s="31"/>
      <c r="R32" s="31"/>
      <c r="S32" s="31"/>
      <c r="T32" s="31"/>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row>
    <row r="33" spans="1:60" s="43" customFormat="1">
      <c r="A33" s="42"/>
      <c r="B33" s="42"/>
      <c r="C33" s="42"/>
      <c r="D33" s="42"/>
      <c r="E33" s="31"/>
      <c r="F33" s="31"/>
      <c r="G33" s="31"/>
      <c r="H33" s="31"/>
      <c r="I33" s="31"/>
      <c r="J33" s="31"/>
      <c r="K33" s="31"/>
      <c r="L33" s="31"/>
      <c r="M33" s="31"/>
      <c r="N33" s="31"/>
      <c r="O33" s="31"/>
      <c r="P33" s="31"/>
      <c r="Q33" s="31"/>
      <c r="R33" s="31"/>
      <c r="S33" s="31"/>
      <c r="T33" s="31"/>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row>
    <row r="34" spans="1:60" s="43" customFormat="1">
      <c r="A34" s="42"/>
      <c r="B34" s="42"/>
      <c r="C34" s="42"/>
      <c r="D34" s="42"/>
      <c r="E34" s="31"/>
      <c r="F34" s="31"/>
      <c r="G34" s="31"/>
      <c r="H34" s="31"/>
      <c r="I34" s="31"/>
      <c r="J34" s="31"/>
      <c r="K34" s="31"/>
      <c r="L34" s="31"/>
      <c r="M34" s="31"/>
      <c r="N34" s="31"/>
      <c r="O34" s="31"/>
      <c r="P34" s="31"/>
      <c r="Q34" s="31"/>
      <c r="R34" s="31"/>
      <c r="S34" s="31"/>
      <c r="T34" s="31"/>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row>
    <row r="35" spans="1:60" s="43" customFormat="1">
      <c r="A35" s="42"/>
      <c r="B35" s="42"/>
      <c r="C35" s="42"/>
      <c r="D35" s="42"/>
      <c r="E35" s="31"/>
      <c r="F35" s="31"/>
      <c r="G35" s="31"/>
      <c r="H35" s="31"/>
      <c r="I35" s="31"/>
      <c r="J35" s="31"/>
      <c r="K35" s="31"/>
      <c r="L35" s="31"/>
      <c r="M35" s="31"/>
      <c r="N35" s="31"/>
      <c r="O35" s="31"/>
      <c r="P35" s="31"/>
      <c r="Q35" s="31"/>
      <c r="R35" s="31"/>
      <c r="S35" s="31"/>
      <c r="T35" s="31"/>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row>
    <row r="36" spans="1:60" s="43" customFormat="1">
      <c r="A36" s="42"/>
      <c r="B36" s="42"/>
      <c r="C36" s="42"/>
      <c r="D36" s="42"/>
      <c r="E36" s="31"/>
      <c r="F36" s="31"/>
      <c r="G36" s="31"/>
      <c r="H36" s="31"/>
      <c r="I36" s="31"/>
      <c r="J36" s="31"/>
      <c r="K36" s="31"/>
      <c r="L36" s="31"/>
      <c r="M36" s="31"/>
      <c r="N36" s="31"/>
      <c r="O36" s="31"/>
      <c r="P36" s="31"/>
      <c r="Q36" s="31"/>
      <c r="R36" s="31"/>
      <c r="S36" s="31"/>
      <c r="T36" s="31"/>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row>
    <row r="37" spans="1:60" s="43" customFormat="1">
      <c r="A37" s="42"/>
      <c r="B37" s="42"/>
      <c r="C37" s="42"/>
      <c r="D37" s="42"/>
      <c r="E37" s="31"/>
      <c r="F37" s="31"/>
      <c r="G37" s="31"/>
      <c r="H37" s="31"/>
      <c r="I37" s="31"/>
      <c r="J37" s="31"/>
      <c r="K37" s="31"/>
      <c r="L37" s="31"/>
      <c r="M37" s="31"/>
      <c r="N37" s="31"/>
      <c r="O37" s="31"/>
      <c r="P37" s="31"/>
      <c r="Q37" s="31"/>
      <c r="R37" s="31"/>
      <c r="S37" s="31"/>
      <c r="T37" s="31"/>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row>
    <row r="38" spans="1:60" s="43" customFormat="1">
      <c r="A38" s="42"/>
      <c r="B38" s="42"/>
      <c r="C38" s="42"/>
      <c r="D38" s="42"/>
      <c r="E38" s="31"/>
      <c r="F38" s="31"/>
      <c r="G38" s="31"/>
      <c r="H38" s="31"/>
      <c r="I38" s="31"/>
      <c r="J38" s="31"/>
      <c r="K38" s="31"/>
      <c r="L38" s="31"/>
      <c r="M38" s="31"/>
      <c r="N38" s="31"/>
      <c r="O38" s="31"/>
      <c r="P38" s="31"/>
      <c r="Q38" s="31"/>
      <c r="R38" s="31"/>
      <c r="S38" s="31"/>
      <c r="T38" s="31"/>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c r="AY38" s="42"/>
      <c r="AZ38" s="42"/>
      <c r="BA38" s="42"/>
      <c r="BB38" s="42"/>
      <c r="BC38" s="42"/>
      <c r="BD38" s="42"/>
      <c r="BE38" s="42"/>
      <c r="BF38" s="42"/>
      <c r="BG38" s="42"/>
      <c r="BH38" s="42"/>
    </row>
    <row r="39" spans="1:60" s="43" customFormat="1">
      <c r="A39" s="42"/>
      <c r="B39" s="42"/>
      <c r="C39" s="42"/>
      <c r="D39" s="42"/>
      <c r="E39" s="31"/>
      <c r="F39" s="31"/>
      <c r="G39" s="31"/>
      <c r="H39" s="31"/>
      <c r="I39" s="31"/>
      <c r="J39" s="31"/>
      <c r="K39" s="31"/>
      <c r="L39" s="31"/>
      <c r="M39" s="31"/>
      <c r="N39" s="31"/>
      <c r="O39" s="31"/>
      <c r="P39" s="31"/>
      <c r="Q39" s="31"/>
      <c r="R39" s="31"/>
      <c r="S39" s="31"/>
      <c r="T39" s="31"/>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row>
    <row r="40" spans="1:60" s="43" customFormat="1">
      <c r="A40" s="42"/>
      <c r="B40" s="42"/>
      <c r="C40" s="42"/>
      <c r="D40" s="42"/>
      <c r="E40" s="31"/>
      <c r="F40" s="31"/>
      <c r="G40" s="31"/>
      <c r="H40" s="31"/>
      <c r="I40" s="31"/>
      <c r="J40" s="31"/>
      <c r="K40" s="31"/>
      <c r="L40" s="31"/>
      <c r="M40" s="31"/>
      <c r="N40" s="31"/>
      <c r="O40" s="31"/>
      <c r="P40" s="31"/>
      <c r="Q40" s="31"/>
      <c r="R40" s="31"/>
      <c r="S40" s="31"/>
      <c r="T40" s="31"/>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c r="AY40" s="42"/>
      <c r="AZ40" s="42"/>
      <c r="BA40" s="42"/>
      <c r="BB40" s="42"/>
      <c r="BC40" s="42"/>
      <c r="BD40" s="42"/>
      <c r="BE40" s="42"/>
      <c r="BF40" s="42"/>
      <c r="BG40" s="42"/>
      <c r="BH40" s="42"/>
    </row>
    <row r="41" spans="1:60" s="43" customFormat="1">
      <c r="A41" s="42"/>
      <c r="B41" s="42"/>
      <c r="C41" s="42"/>
      <c r="D41" s="42"/>
      <c r="E41" s="31"/>
      <c r="F41" s="31"/>
      <c r="G41" s="31"/>
      <c r="H41" s="31"/>
      <c r="I41" s="31"/>
      <c r="J41" s="31"/>
      <c r="K41" s="31"/>
      <c r="L41" s="31"/>
      <c r="M41" s="31"/>
      <c r="N41" s="31"/>
      <c r="O41" s="31"/>
      <c r="P41" s="31"/>
      <c r="Q41" s="31"/>
      <c r="R41" s="31"/>
      <c r="S41" s="31"/>
      <c r="T41" s="31"/>
      <c r="U41" s="42"/>
      <c r="V41" s="42"/>
      <c r="W41" s="42"/>
      <c r="X41" s="42"/>
      <c r="Y41" s="42"/>
      <c r="Z41" s="42"/>
      <c r="AA41" s="42"/>
      <c r="AB41" s="42"/>
      <c r="AC41" s="42"/>
      <c r="AD41" s="42"/>
      <c r="AE41" s="42"/>
      <c r="AF41" s="42"/>
      <c r="AG41" s="42"/>
      <c r="AH41" s="42"/>
      <c r="AI41" s="42"/>
      <c r="AJ41" s="42"/>
      <c r="AK41" s="42"/>
      <c r="AL41" s="42"/>
      <c r="AM41" s="42"/>
      <c r="AN41" s="42"/>
      <c r="AO41" s="42"/>
      <c r="AP41" s="42"/>
      <c r="AQ41" s="42"/>
      <c r="AR41" s="42"/>
      <c r="AS41" s="42"/>
      <c r="AT41" s="42"/>
      <c r="AU41" s="42"/>
      <c r="AV41" s="42"/>
      <c r="AW41" s="42"/>
      <c r="AX41" s="42"/>
      <c r="AY41" s="42"/>
      <c r="AZ41" s="42"/>
      <c r="BA41" s="42"/>
      <c r="BB41" s="42"/>
      <c r="BC41" s="42"/>
      <c r="BD41" s="42"/>
      <c r="BE41" s="42"/>
      <c r="BF41" s="42"/>
      <c r="BG41" s="42"/>
      <c r="BH41" s="42"/>
    </row>
    <row r="42" spans="1:60" s="43" customFormat="1">
      <c r="A42" s="42"/>
      <c r="B42" s="42"/>
      <c r="C42" s="42"/>
      <c r="D42" s="42"/>
      <c r="E42" s="31"/>
      <c r="F42" s="31"/>
      <c r="G42" s="31"/>
      <c r="H42" s="31"/>
      <c r="I42" s="31"/>
      <c r="J42" s="31"/>
      <c r="K42" s="31"/>
      <c r="L42" s="31"/>
      <c r="M42" s="31"/>
      <c r="N42" s="31"/>
      <c r="O42" s="31"/>
      <c r="P42" s="31"/>
      <c r="Q42" s="31"/>
      <c r="R42" s="31"/>
      <c r="S42" s="31"/>
      <c r="T42" s="31"/>
      <c r="U42" s="42"/>
      <c r="V42" s="42"/>
      <c r="W42" s="42"/>
      <c r="X42" s="42"/>
      <c r="Y42" s="42"/>
      <c r="Z42" s="42"/>
      <c r="AA42" s="42"/>
      <c r="AB42" s="42"/>
      <c r="AC42" s="42"/>
      <c r="AD42" s="42"/>
      <c r="AE42" s="42"/>
      <c r="AF42" s="42"/>
      <c r="AG42" s="42"/>
      <c r="AH42" s="42"/>
      <c r="AI42" s="42"/>
      <c r="AJ42" s="42"/>
      <c r="AK42" s="42"/>
      <c r="AL42" s="42"/>
      <c r="AM42" s="42"/>
      <c r="AN42" s="42"/>
      <c r="AO42" s="42"/>
      <c r="AP42" s="42"/>
      <c r="AQ42" s="42"/>
      <c r="AR42" s="42"/>
      <c r="AS42" s="42"/>
      <c r="AT42" s="42"/>
      <c r="AU42" s="42"/>
      <c r="AV42" s="42"/>
      <c r="AW42" s="42"/>
      <c r="AX42" s="42"/>
      <c r="AY42" s="42"/>
      <c r="AZ42" s="42"/>
      <c r="BA42" s="42"/>
      <c r="BB42" s="42"/>
      <c r="BC42" s="42"/>
      <c r="BD42" s="42"/>
      <c r="BE42" s="42"/>
      <c r="BF42" s="42"/>
      <c r="BG42" s="42"/>
      <c r="BH42" s="42"/>
    </row>
    <row r="43" spans="1:60" s="43" customFormat="1">
      <c r="A43" s="42"/>
      <c r="B43" s="42"/>
      <c r="C43" s="42"/>
      <c r="D43" s="42"/>
      <c r="E43" s="31"/>
      <c r="F43" s="31"/>
      <c r="G43" s="31"/>
      <c r="H43" s="31"/>
      <c r="I43" s="31"/>
      <c r="J43" s="31"/>
      <c r="K43" s="31"/>
      <c r="L43" s="31"/>
      <c r="M43" s="31"/>
      <c r="N43" s="31"/>
      <c r="O43" s="31"/>
      <c r="P43" s="31"/>
      <c r="Q43" s="31"/>
      <c r="R43" s="31"/>
      <c r="S43" s="31"/>
      <c r="T43" s="31"/>
      <c r="U43" s="42"/>
      <c r="V43" s="42"/>
      <c r="W43" s="42"/>
      <c r="X43" s="42"/>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2"/>
      <c r="AY43" s="42"/>
      <c r="AZ43" s="42"/>
      <c r="BA43" s="42"/>
      <c r="BB43" s="42"/>
      <c r="BC43" s="42"/>
      <c r="BD43" s="42"/>
      <c r="BE43" s="42"/>
      <c r="BF43" s="42"/>
      <c r="BG43" s="42"/>
      <c r="BH43" s="42"/>
    </row>
    <row r="44" spans="1:60" s="43" customFormat="1">
      <c r="A44" s="42"/>
      <c r="B44" s="42"/>
      <c r="C44" s="42"/>
      <c r="D44" s="42"/>
      <c r="E44" s="31"/>
      <c r="F44" s="31"/>
      <c r="G44" s="31"/>
      <c r="H44" s="31"/>
      <c r="I44" s="31"/>
      <c r="J44" s="31"/>
      <c r="K44" s="31"/>
      <c r="L44" s="31"/>
      <c r="M44" s="31"/>
      <c r="N44" s="31"/>
      <c r="O44" s="31"/>
      <c r="P44" s="31"/>
      <c r="Q44" s="31"/>
      <c r="R44" s="31"/>
      <c r="S44" s="31"/>
      <c r="T44" s="31"/>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row>
    <row r="45" spans="1:60" s="60" customFormat="1">
      <c r="A45" s="42"/>
      <c r="B45" s="42"/>
      <c r="C45" s="42"/>
      <c r="D45" s="42"/>
      <c r="E45" s="31"/>
      <c r="F45" s="31"/>
      <c r="G45" s="31"/>
      <c r="H45" s="31"/>
      <c r="I45" s="31"/>
      <c r="J45" s="31"/>
      <c r="K45" s="31"/>
      <c r="L45" s="31"/>
      <c r="M45" s="31"/>
      <c r="N45" s="31"/>
      <c r="O45" s="31"/>
      <c r="P45" s="31"/>
      <c r="Q45" s="31"/>
      <c r="R45" s="31"/>
      <c r="S45" s="31"/>
      <c r="T45" s="31"/>
      <c r="U45" s="42"/>
      <c r="V45" s="42"/>
      <c r="W45" s="42"/>
      <c r="X45" s="42"/>
      <c r="Y45" s="42"/>
      <c r="Z45" s="42"/>
      <c r="AA45" s="42"/>
      <c r="AB45" s="42"/>
      <c r="AC45" s="42"/>
      <c r="AD45" s="42"/>
      <c r="AE45" s="42"/>
      <c r="AF45" s="42"/>
      <c r="AG45" s="42"/>
      <c r="AH45" s="42"/>
      <c r="AI45" s="42"/>
      <c r="AJ45" s="42"/>
      <c r="AK45" s="42"/>
      <c r="AL45" s="42"/>
      <c r="AM45" s="42"/>
      <c r="AN45" s="42"/>
      <c r="AO45" s="42"/>
      <c r="AP45" s="42"/>
      <c r="AQ45" s="42"/>
      <c r="AR45" s="42"/>
      <c r="AS45" s="42"/>
      <c r="AT45" s="42"/>
      <c r="AU45" s="42"/>
      <c r="AV45" s="42"/>
      <c r="AW45" s="42"/>
      <c r="AX45" s="42"/>
      <c r="AY45" s="42"/>
      <c r="AZ45" s="42"/>
      <c r="BA45" s="42"/>
      <c r="BB45" s="42"/>
      <c r="BC45" s="42"/>
      <c r="BD45" s="42"/>
      <c r="BE45" s="42"/>
      <c r="BF45" s="42"/>
      <c r="BG45" s="42"/>
      <c r="BH45" s="42"/>
    </row>
    <row r="51" spans="5:5">
      <c r="E51" s="42"/>
    </row>
  </sheetData>
  <mergeCells count="2">
    <mergeCell ref="C2:V2"/>
    <mergeCell ref="E4:V4"/>
  </mergeCells>
  <dataValidations count="1">
    <dataValidation type="list" allowBlank="1" showInputMessage="1" showErrorMessage="1" sqref="J11:J20 F7:F20 K12:K20 L13:L20 I10:I20 M14:M20 N15:N20 G8:G20 H9:H20 O16:O20 Q18:R20 P17:P20 S20" xr:uid="{F0CB483E-A13A-41C5-9B7D-9DC329C8ECF6}">
      <formula1>Scale</formula1>
    </dataValidation>
  </dataValidation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A85E-D6B1-48BF-90B2-8BEBAE9257B1}">
  <dimension ref="A1:BH43"/>
  <sheetViews>
    <sheetView topLeftCell="C5" zoomScale="65" zoomScaleNormal="70" workbookViewId="0">
      <selection activeCell="C5"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20" width="10.625" style="31" customWidth="1"/>
    <col min="21" max="22" width="10.625" style="42" customWidth="1"/>
    <col min="23" max="24" width="3.375" style="42" customWidth="1"/>
    <col min="25" max="25" width="20" style="42" hidden="1" customWidth="1"/>
    <col min="26" max="26" width="11.625" style="42" hidden="1" customWidth="1"/>
    <col min="27" max="27" width="10.875" style="42" hidden="1" customWidth="1"/>
    <col min="28" max="43" width="5.125" style="42" hidden="1" customWidth="1"/>
    <col min="44" max="44" width="0" style="42" hidden="1" customWidth="1"/>
    <col min="45" max="16384" width="10.875" style="42"/>
  </cols>
  <sheetData>
    <row r="1" spans="1:60" s="43" customFormat="1" ht="16.5" thickBot="1">
      <c r="A1" s="42"/>
      <c r="B1" s="42"/>
      <c r="C1" s="42"/>
      <c r="D1" s="42"/>
      <c r="E1" s="31"/>
      <c r="F1" s="31"/>
      <c r="G1" s="31"/>
      <c r="H1" s="31"/>
      <c r="I1" s="31"/>
      <c r="J1" s="31"/>
      <c r="K1" s="31"/>
      <c r="L1" s="31"/>
      <c r="M1" s="31"/>
      <c r="N1" s="31"/>
      <c r="O1" s="31"/>
      <c r="P1" s="31"/>
      <c r="Q1" s="31"/>
      <c r="R1" s="31"/>
      <c r="S1" s="31"/>
      <c r="T1" s="31"/>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row>
    <row r="2" spans="1:60" s="43" customFormat="1" ht="26.25">
      <c r="A2" s="42"/>
      <c r="B2" s="44"/>
      <c r="C2" s="96" t="s">
        <v>31</v>
      </c>
      <c r="D2" s="96"/>
      <c r="E2" s="96"/>
      <c r="F2" s="96"/>
      <c r="G2" s="96"/>
      <c r="H2" s="96"/>
      <c r="I2" s="96"/>
      <c r="J2" s="96"/>
      <c r="K2" s="96"/>
      <c r="L2" s="96"/>
      <c r="M2" s="96"/>
      <c r="N2" s="96"/>
      <c r="O2" s="96"/>
      <c r="P2" s="96"/>
      <c r="Q2" s="96"/>
      <c r="R2" s="96"/>
      <c r="S2" s="96"/>
      <c r="T2" s="96"/>
      <c r="U2" s="96"/>
      <c r="V2" s="96"/>
      <c r="W2" s="45"/>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row>
    <row r="3" spans="1:60" s="43" customFormat="1" ht="21.75" thickBot="1">
      <c r="A3" s="42"/>
      <c r="B3" s="46"/>
      <c r="C3" s="42"/>
      <c r="D3" s="42"/>
      <c r="E3" s="4"/>
      <c r="F3" s="4"/>
      <c r="G3" s="4"/>
      <c r="H3" s="4"/>
      <c r="I3" s="4"/>
      <c r="J3" s="4"/>
      <c r="K3" s="4"/>
      <c r="L3" s="4"/>
      <c r="M3" s="4"/>
      <c r="N3" s="4"/>
      <c r="O3" s="4"/>
      <c r="P3" s="4"/>
      <c r="Q3" s="4"/>
      <c r="R3" s="4"/>
      <c r="S3" s="4"/>
      <c r="T3" s="4"/>
      <c r="U3" s="4"/>
      <c r="V3" s="4"/>
      <c r="W3" s="47"/>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row>
    <row r="4" spans="1:60" s="43" customFormat="1" ht="21.75" thickBot="1">
      <c r="A4" s="42"/>
      <c r="B4" s="46"/>
      <c r="C4" s="3" t="s">
        <v>11</v>
      </c>
      <c r="D4" s="4"/>
      <c r="E4" s="100" t="s">
        <v>12</v>
      </c>
      <c r="F4" s="101"/>
      <c r="G4" s="101"/>
      <c r="H4" s="101"/>
      <c r="I4" s="101"/>
      <c r="J4" s="101"/>
      <c r="K4" s="101"/>
      <c r="L4" s="101"/>
      <c r="M4" s="101"/>
      <c r="N4" s="101"/>
      <c r="O4" s="101"/>
      <c r="P4" s="101"/>
      <c r="Q4" s="101"/>
      <c r="R4" s="101"/>
      <c r="S4" s="101"/>
      <c r="T4" s="101"/>
      <c r="U4" s="101"/>
      <c r="V4" s="102"/>
      <c r="W4" s="47"/>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row>
    <row r="5" spans="1:60" s="43" customFormat="1" ht="16.5" thickBot="1">
      <c r="A5" s="42"/>
      <c r="B5" s="46"/>
      <c r="C5" s="74"/>
      <c r="D5" s="42"/>
      <c r="E5" s="75" t="s">
        <v>13</v>
      </c>
      <c r="F5" s="32" t="s">
        <v>32</v>
      </c>
      <c r="G5" s="32" t="s">
        <v>33</v>
      </c>
      <c r="H5" s="32" t="s">
        <v>232</v>
      </c>
      <c r="I5" s="32" t="s">
        <v>233</v>
      </c>
      <c r="J5" s="32" t="s">
        <v>234</v>
      </c>
      <c r="K5" s="32" t="s">
        <v>34</v>
      </c>
      <c r="L5" s="32" t="s">
        <v>35</v>
      </c>
      <c r="M5" s="32" t="s">
        <v>241</v>
      </c>
      <c r="N5" s="32" t="s">
        <v>36</v>
      </c>
      <c r="O5" s="32" t="s">
        <v>37</v>
      </c>
      <c r="P5" s="32" t="s">
        <v>242</v>
      </c>
      <c r="Q5" s="32" t="s">
        <v>38</v>
      </c>
      <c r="R5" s="32" t="s">
        <v>245</v>
      </c>
      <c r="S5" s="32" t="s">
        <v>246</v>
      </c>
      <c r="T5" s="32" t="s">
        <v>39</v>
      </c>
      <c r="U5" s="32" t="s">
        <v>14</v>
      </c>
      <c r="V5" s="76" t="s">
        <v>15</v>
      </c>
      <c r="W5" s="47"/>
      <c r="X5" s="42"/>
      <c r="Y5" s="42" t="s">
        <v>16</v>
      </c>
      <c r="Z5" s="42" t="s">
        <v>17</v>
      </c>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row>
    <row r="6" spans="1:60" s="43" customFormat="1" ht="39.950000000000003" customHeight="1">
      <c r="A6" s="42"/>
      <c r="B6" s="46"/>
      <c r="C6" s="48"/>
      <c r="D6" s="42"/>
      <c r="E6" s="41" t="s">
        <v>40</v>
      </c>
      <c r="F6" s="40"/>
      <c r="G6" s="40"/>
      <c r="H6" s="40"/>
      <c r="I6" s="40"/>
      <c r="J6" s="40"/>
      <c r="K6" s="40"/>
      <c r="L6" s="40"/>
      <c r="M6" s="40"/>
      <c r="N6" s="40"/>
      <c r="O6" s="40"/>
      <c r="P6" s="40"/>
      <c r="Q6" s="40"/>
      <c r="R6" s="40"/>
      <c r="S6" s="40"/>
      <c r="T6" s="40"/>
      <c r="U6" s="77" t="e">
        <f t="shared" ref="U6:U20" si="0">AQ6</f>
        <v>#N/A</v>
      </c>
      <c r="V6" s="78" t="e">
        <f>RANK(U6,$U6:$U20,0)</f>
        <v>#N/A</v>
      </c>
      <c r="W6" s="47"/>
      <c r="X6" s="42"/>
      <c r="Y6" s="42" t="s">
        <v>18</v>
      </c>
      <c r="Z6" s="42">
        <v>10</v>
      </c>
      <c r="AA6" s="42"/>
      <c r="AB6" s="53"/>
      <c r="AC6" s="54" t="e">
        <f>1/AB7</f>
        <v>#N/A</v>
      </c>
      <c r="AD6" s="54" t="e">
        <f>1/AB8</f>
        <v>#N/A</v>
      </c>
      <c r="AE6" s="54" t="e">
        <f>1/AB9</f>
        <v>#N/A</v>
      </c>
      <c r="AF6" s="54" t="e">
        <f>1/AB10</f>
        <v>#N/A</v>
      </c>
      <c r="AG6" s="54" t="e">
        <f>1/AB11</f>
        <v>#N/A</v>
      </c>
      <c r="AH6" s="54" t="e">
        <f>1/AB12</f>
        <v>#N/A</v>
      </c>
      <c r="AI6" s="54" t="e">
        <f>1/AB13</f>
        <v>#N/A</v>
      </c>
      <c r="AJ6" s="54" t="e">
        <f>1/AB14</f>
        <v>#N/A</v>
      </c>
      <c r="AK6" s="54" t="e">
        <f>1/AB15</f>
        <v>#N/A</v>
      </c>
      <c r="AL6" s="54" t="e">
        <f>1/AB16</f>
        <v>#N/A</v>
      </c>
      <c r="AM6" s="54" t="e">
        <f>1/AB17</f>
        <v>#N/A</v>
      </c>
      <c r="AN6" s="54" t="e">
        <f>1/AB18</f>
        <v>#N/A</v>
      </c>
      <c r="AO6" s="54" t="e">
        <f>1/AB19</f>
        <v>#N/A</v>
      </c>
      <c r="AP6" s="54" t="e">
        <f>1/AB20</f>
        <v>#N/A</v>
      </c>
      <c r="AQ6" s="55" t="e">
        <f t="shared" ref="AQ6:AQ16" si="1">SUM(AB6:AM6)</f>
        <v>#N/A</v>
      </c>
      <c r="AR6" s="42"/>
      <c r="AS6" s="42"/>
      <c r="AT6" s="42"/>
      <c r="AU6" s="42"/>
      <c r="AV6" s="42"/>
      <c r="AW6" s="42"/>
      <c r="AX6" s="42"/>
      <c r="AY6" s="42"/>
      <c r="AZ6" s="42"/>
      <c r="BA6" s="42"/>
      <c r="BB6" s="42"/>
      <c r="BC6" s="42"/>
      <c r="BD6" s="42"/>
      <c r="BE6" s="42"/>
      <c r="BF6" s="42"/>
      <c r="BG6" s="42"/>
      <c r="BH6" s="42"/>
    </row>
    <row r="7" spans="1:60" s="43" customFormat="1" ht="39.950000000000003" customHeight="1">
      <c r="A7" s="42"/>
      <c r="B7" s="46"/>
      <c r="C7" s="48"/>
      <c r="D7" s="42"/>
      <c r="E7" s="37" t="s">
        <v>41</v>
      </c>
      <c r="F7" s="8"/>
      <c r="G7" s="9"/>
      <c r="H7" s="9"/>
      <c r="I7" s="9"/>
      <c r="J7" s="9"/>
      <c r="K7" s="9"/>
      <c r="L7" s="9"/>
      <c r="M7" s="9"/>
      <c r="N7" s="9"/>
      <c r="O7" s="9"/>
      <c r="P7" s="9"/>
      <c r="Q7" s="9"/>
      <c r="R7" s="9"/>
      <c r="S7" s="9"/>
      <c r="T7" s="9"/>
      <c r="U7" s="8" t="e">
        <f t="shared" si="0"/>
        <v>#N/A</v>
      </c>
      <c r="V7" s="52" t="e">
        <f>RANK(U7,$U6:$U20,0)</f>
        <v>#N/A</v>
      </c>
      <c r="W7" s="47"/>
      <c r="X7" s="42"/>
      <c r="Y7" s="42" t="s">
        <v>19</v>
      </c>
      <c r="Z7" s="42">
        <v>5</v>
      </c>
      <c r="AA7" s="42"/>
      <c r="AB7" s="56" t="e">
        <f>VLOOKUP(F7, Table283[#All], 2, 0)</f>
        <v>#N/A</v>
      </c>
      <c r="AC7" s="53"/>
      <c r="AD7" s="54" t="e">
        <f>1/AC8</f>
        <v>#N/A</v>
      </c>
      <c r="AE7" s="54" t="e">
        <f>1/AC9</f>
        <v>#N/A</v>
      </c>
      <c r="AF7" s="54" t="e">
        <f>1/AC10</f>
        <v>#N/A</v>
      </c>
      <c r="AG7" s="54" t="e">
        <f>1/AC11</f>
        <v>#N/A</v>
      </c>
      <c r="AH7" s="54" t="e">
        <f>1/AC12</f>
        <v>#N/A</v>
      </c>
      <c r="AI7" s="54" t="e">
        <f>1/AC13</f>
        <v>#N/A</v>
      </c>
      <c r="AJ7" s="54" t="e">
        <f>1/AC14</f>
        <v>#N/A</v>
      </c>
      <c r="AK7" s="54" t="e">
        <f>1/AC15</f>
        <v>#N/A</v>
      </c>
      <c r="AL7" s="54" t="e">
        <f>1/AC16</f>
        <v>#N/A</v>
      </c>
      <c r="AM7" s="54" t="e">
        <f>1/AC17</f>
        <v>#N/A</v>
      </c>
      <c r="AN7" s="54" t="e">
        <f>1/AC18</f>
        <v>#N/A</v>
      </c>
      <c r="AO7" s="54" t="e">
        <f>1/AC19</f>
        <v>#N/A</v>
      </c>
      <c r="AP7" s="54" t="e">
        <f>1/AC20</f>
        <v>#N/A</v>
      </c>
      <c r="AQ7" s="55" t="e">
        <f t="shared" si="1"/>
        <v>#N/A</v>
      </c>
      <c r="AR7" s="42"/>
      <c r="AS7" s="42"/>
      <c r="AT7" s="42"/>
      <c r="AU7" s="42"/>
      <c r="AV7" s="42"/>
      <c r="AW7" s="42"/>
      <c r="AX7" s="42"/>
      <c r="AY7" s="42"/>
      <c r="AZ7" s="42"/>
      <c r="BA7" s="42"/>
      <c r="BB7" s="42"/>
      <c r="BC7" s="42"/>
      <c r="BD7" s="42"/>
      <c r="BE7" s="42"/>
      <c r="BF7" s="42"/>
      <c r="BG7" s="42"/>
      <c r="BH7" s="42"/>
    </row>
    <row r="8" spans="1:60" s="43" customFormat="1" ht="43.35" customHeight="1">
      <c r="A8" s="42"/>
      <c r="B8" s="46"/>
      <c r="C8" s="48"/>
      <c r="D8" s="42"/>
      <c r="E8" s="37" t="s">
        <v>230</v>
      </c>
      <c r="F8" s="8"/>
      <c r="G8" s="8"/>
      <c r="H8" s="9"/>
      <c r="I8" s="9"/>
      <c r="J8" s="9"/>
      <c r="K8" s="9"/>
      <c r="L8" s="9"/>
      <c r="M8" s="9"/>
      <c r="N8" s="9"/>
      <c r="O8" s="9"/>
      <c r="P8" s="9"/>
      <c r="Q8" s="9"/>
      <c r="R8" s="9"/>
      <c r="S8" s="9"/>
      <c r="T8" s="9"/>
      <c r="U8" s="8" t="e">
        <f t="shared" si="0"/>
        <v>#N/A</v>
      </c>
      <c r="V8" s="52" t="e">
        <f>RANK(U8,$U6:$U20,0)</f>
        <v>#N/A</v>
      </c>
      <c r="W8" s="47"/>
      <c r="X8" s="42"/>
      <c r="Y8" s="42" t="s">
        <v>20</v>
      </c>
      <c r="Z8" s="42">
        <v>1</v>
      </c>
      <c r="AA8" s="42"/>
      <c r="AB8" s="56" t="e">
        <f>VLOOKUP(F8, Table283[#All], 2, 0)</f>
        <v>#N/A</v>
      </c>
      <c r="AC8" s="56" t="e">
        <f>VLOOKUP(G8, Table283[#All], 2, 0)</f>
        <v>#N/A</v>
      </c>
      <c r="AD8" s="53"/>
      <c r="AE8" s="54" t="e">
        <f>1/AD9</f>
        <v>#N/A</v>
      </c>
      <c r="AF8" s="54" t="e">
        <f>1/AD10</f>
        <v>#N/A</v>
      </c>
      <c r="AG8" s="54" t="e">
        <f>1/AD11</f>
        <v>#N/A</v>
      </c>
      <c r="AH8" s="54" t="e">
        <f>1/AD12</f>
        <v>#N/A</v>
      </c>
      <c r="AI8" s="54" t="e">
        <f>1/AD13</f>
        <v>#N/A</v>
      </c>
      <c r="AJ8" s="54" t="e">
        <f>1/AD14</f>
        <v>#N/A</v>
      </c>
      <c r="AK8" s="54" t="e">
        <f>1/AD15</f>
        <v>#N/A</v>
      </c>
      <c r="AL8" s="54" t="e">
        <f>1/AD16</f>
        <v>#N/A</v>
      </c>
      <c r="AM8" s="54" t="e">
        <f>1/AD17</f>
        <v>#N/A</v>
      </c>
      <c r="AN8" s="54" t="e">
        <f>1/AD18</f>
        <v>#N/A</v>
      </c>
      <c r="AO8" s="54" t="e">
        <f>1/AD19</f>
        <v>#N/A</v>
      </c>
      <c r="AP8" s="54" t="e">
        <f>1/AD20</f>
        <v>#N/A</v>
      </c>
      <c r="AQ8" s="55" t="e">
        <f t="shared" si="1"/>
        <v>#N/A</v>
      </c>
      <c r="AR8" s="42"/>
      <c r="AS8" s="42"/>
      <c r="AT8" s="42"/>
      <c r="AU8" s="42"/>
      <c r="AV8" s="42"/>
      <c r="AW8" s="42"/>
      <c r="AX8" s="42"/>
      <c r="AY8" s="42"/>
      <c r="AZ8" s="42"/>
      <c r="BA8" s="42"/>
      <c r="BB8" s="42"/>
      <c r="BC8" s="42"/>
      <c r="BD8" s="42"/>
      <c r="BE8" s="42"/>
      <c r="BF8" s="42"/>
      <c r="BG8" s="42"/>
      <c r="BH8" s="42"/>
    </row>
    <row r="9" spans="1:60" s="43" customFormat="1" ht="45" customHeight="1">
      <c r="A9" s="42"/>
      <c r="B9" s="46"/>
      <c r="C9" s="48"/>
      <c r="D9" s="42"/>
      <c r="E9" s="38" t="s">
        <v>231</v>
      </c>
      <c r="F9" s="8"/>
      <c r="G9" s="8"/>
      <c r="H9" s="10"/>
      <c r="I9" s="9"/>
      <c r="J9" s="9"/>
      <c r="K9" s="9"/>
      <c r="L9" s="9"/>
      <c r="M9" s="9"/>
      <c r="N9" s="9"/>
      <c r="O9" s="9"/>
      <c r="P9" s="9"/>
      <c r="Q9" s="9"/>
      <c r="R9" s="9"/>
      <c r="S9" s="9"/>
      <c r="T9" s="9"/>
      <c r="U9" s="8" t="e">
        <f t="shared" si="0"/>
        <v>#N/A</v>
      </c>
      <c r="V9" s="52" t="e">
        <f>RANK(U9,$U6:$U20,0)</f>
        <v>#N/A</v>
      </c>
      <c r="W9" s="47"/>
      <c r="X9" s="42"/>
      <c r="Y9" s="42" t="s">
        <v>21</v>
      </c>
      <c r="Z9" s="42">
        <v>0.2</v>
      </c>
      <c r="AA9" s="42"/>
      <c r="AB9" s="56" t="e">
        <f>VLOOKUP(F9, Table283[#All], 2, 0)</f>
        <v>#N/A</v>
      </c>
      <c r="AC9" s="56" t="e">
        <f>VLOOKUP(G9, Table283[#All], 2, 0)</f>
        <v>#N/A</v>
      </c>
      <c r="AD9" s="56" t="e">
        <f>VLOOKUP(H9, Table283[#All], 2, 0)</f>
        <v>#N/A</v>
      </c>
      <c r="AE9" s="53"/>
      <c r="AF9" s="54" t="e">
        <f>1/AE10</f>
        <v>#N/A</v>
      </c>
      <c r="AG9" s="54" t="e">
        <f>1/AE11</f>
        <v>#N/A</v>
      </c>
      <c r="AH9" s="54" t="e">
        <f>1/AE12</f>
        <v>#N/A</v>
      </c>
      <c r="AI9" s="54" t="e">
        <f>1/AE13</f>
        <v>#N/A</v>
      </c>
      <c r="AJ9" s="54" t="e">
        <f>1/AE14</f>
        <v>#N/A</v>
      </c>
      <c r="AK9" s="54" t="e">
        <f>1/AE15</f>
        <v>#N/A</v>
      </c>
      <c r="AL9" s="54" t="e">
        <f>1/AE16</f>
        <v>#N/A</v>
      </c>
      <c r="AM9" s="54" t="e">
        <f>1/AE17</f>
        <v>#N/A</v>
      </c>
      <c r="AN9" s="54" t="e">
        <f>1/AE18</f>
        <v>#N/A</v>
      </c>
      <c r="AO9" s="54" t="e">
        <f>1/AE19</f>
        <v>#N/A</v>
      </c>
      <c r="AP9" s="54" t="e">
        <f>1/AE20</f>
        <v>#N/A</v>
      </c>
      <c r="AQ9" s="55" t="e">
        <f t="shared" si="1"/>
        <v>#N/A</v>
      </c>
      <c r="AR9" s="42"/>
      <c r="AS9" s="42"/>
      <c r="AT9" s="42"/>
      <c r="AU9" s="42"/>
      <c r="AV9" s="42"/>
      <c r="AW9" s="42"/>
      <c r="AX9" s="42"/>
      <c r="AY9" s="42"/>
      <c r="AZ9" s="42"/>
      <c r="BA9" s="42"/>
      <c r="BB9" s="42"/>
      <c r="BC9" s="42"/>
      <c r="BD9" s="42"/>
      <c r="BE9" s="42"/>
      <c r="BF9" s="42"/>
      <c r="BG9" s="42"/>
      <c r="BH9" s="42"/>
    </row>
    <row r="10" spans="1:60" s="43" customFormat="1" ht="46.5" customHeight="1">
      <c r="A10" s="42"/>
      <c r="B10" s="46"/>
      <c r="C10" s="48"/>
      <c r="D10" s="42"/>
      <c r="E10" s="38" t="s">
        <v>412</v>
      </c>
      <c r="F10" s="10"/>
      <c r="G10" s="8"/>
      <c r="H10" s="8"/>
      <c r="I10" s="10"/>
      <c r="J10" s="11"/>
      <c r="K10" s="11"/>
      <c r="L10" s="11"/>
      <c r="M10" s="11"/>
      <c r="N10" s="11"/>
      <c r="O10" s="11"/>
      <c r="P10" s="11"/>
      <c r="Q10" s="11"/>
      <c r="R10" s="11"/>
      <c r="S10" s="11"/>
      <c r="T10" s="11"/>
      <c r="U10" s="8" t="e">
        <f t="shared" si="0"/>
        <v>#N/A</v>
      </c>
      <c r="V10" s="52" t="e">
        <f>RANK(U10,$U6:$U20,0)</f>
        <v>#N/A</v>
      </c>
      <c r="W10" s="47"/>
      <c r="X10" s="42"/>
      <c r="Y10" s="42" t="s">
        <v>22</v>
      </c>
      <c r="Z10" s="42">
        <v>0.1</v>
      </c>
      <c r="AA10" s="42"/>
      <c r="AB10" s="56" t="e">
        <f>VLOOKUP(F10, Table283[#All], 2, 0)</f>
        <v>#N/A</v>
      </c>
      <c r="AC10" s="56" t="e">
        <f>VLOOKUP(G10, Table283[#All], 2, 0)</f>
        <v>#N/A</v>
      </c>
      <c r="AD10" s="56" t="e">
        <f>VLOOKUP(H10, Table283[#All], 2, 0)</f>
        <v>#N/A</v>
      </c>
      <c r="AE10" s="56" t="e">
        <f>VLOOKUP(I10, Table283[#All], 2, 0)</f>
        <v>#N/A</v>
      </c>
      <c r="AF10" s="53"/>
      <c r="AG10" s="54" t="e">
        <f>1/AF11</f>
        <v>#N/A</v>
      </c>
      <c r="AH10" s="54" t="e">
        <f>1/AF12</f>
        <v>#N/A</v>
      </c>
      <c r="AI10" s="54" t="e">
        <f>1/AF13</f>
        <v>#N/A</v>
      </c>
      <c r="AJ10" s="54" t="e">
        <f>1/AF14</f>
        <v>#N/A</v>
      </c>
      <c r="AK10" s="54" t="e">
        <f>1/AF15</f>
        <v>#N/A</v>
      </c>
      <c r="AL10" s="54" t="e">
        <f>1/AF16</f>
        <v>#N/A</v>
      </c>
      <c r="AM10" s="54" t="e">
        <f>1/AF17</f>
        <v>#N/A</v>
      </c>
      <c r="AN10" s="54" t="e">
        <f>1/AF18</f>
        <v>#N/A</v>
      </c>
      <c r="AO10" s="54" t="e">
        <f>1/AF19</f>
        <v>#N/A</v>
      </c>
      <c r="AP10" s="54" t="e">
        <f>1/AF20</f>
        <v>#N/A</v>
      </c>
      <c r="AQ10" s="55" t="e">
        <f t="shared" si="1"/>
        <v>#N/A</v>
      </c>
      <c r="AR10" s="42"/>
      <c r="AS10" s="42"/>
      <c r="AT10" s="42"/>
      <c r="AU10" s="42"/>
      <c r="AV10" s="42"/>
      <c r="AW10" s="42"/>
      <c r="AX10" s="42"/>
      <c r="AY10" s="42"/>
      <c r="AZ10" s="42"/>
      <c r="BA10" s="42"/>
      <c r="BB10" s="42"/>
      <c r="BC10" s="42"/>
      <c r="BD10" s="42"/>
      <c r="BE10" s="42"/>
      <c r="BF10" s="42"/>
      <c r="BG10" s="42"/>
      <c r="BH10" s="42"/>
    </row>
    <row r="11" spans="1:60" s="43" customFormat="1" ht="46.5" customHeight="1">
      <c r="A11" s="42"/>
      <c r="B11" s="46"/>
      <c r="C11" s="48"/>
      <c r="D11" s="42"/>
      <c r="E11" s="38" t="s">
        <v>235</v>
      </c>
      <c r="F11" s="8"/>
      <c r="G11" s="8"/>
      <c r="H11" s="10"/>
      <c r="I11" s="8"/>
      <c r="J11" s="8"/>
      <c r="K11" s="11"/>
      <c r="L11" s="11"/>
      <c r="M11" s="11"/>
      <c r="N11" s="11"/>
      <c r="O11" s="11"/>
      <c r="P11" s="11"/>
      <c r="Q11" s="11"/>
      <c r="R11" s="11"/>
      <c r="S11" s="11"/>
      <c r="T11" s="11"/>
      <c r="U11" s="8" t="e">
        <f t="shared" si="0"/>
        <v>#N/A</v>
      </c>
      <c r="V11" s="52" t="e">
        <f>RANK(U11,$U6:$U20,0)</f>
        <v>#N/A</v>
      </c>
      <c r="W11" s="47"/>
      <c r="X11" s="42"/>
      <c r="Y11" s="42"/>
      <c r="Z11" s="42"/>
      <c r="AA11" s="42"/>
      <c r="AB11" s="56" t="e">
        <f>VLOOKUP(F11, Table283[#All], 2, 0)</f>
        <v>#N/A</v>
      </c>
      <c r="AC11" s="56" t="e">
        <f>VLOOKUP(G11, Table283[#All], 2, 0)</f>
        <v>#N/A</v>
      </c>
      <c r="AD11" s="56" t="e">
        <f>VLOOKUP(H11, Table283[#All], 2, 0)</f>
        <v>#N/A</v>
      </c>
      <c r="AE11" s="56" t="e">
        <f>VLOOKUP(I11, Table283[#All], 2, 0)</f>
        <v>#N/A</v>
      </c>
      <c r="AF11" s="56" t="e">
        <f>VLOOKUP(J11, Table283[#All], 2, 0)</f>
        <v>#N/A</v>
      </c>
      <c r="AG11" s="53"/>
      <c r="AH11" s="54" t="e">
        <f>1/AG12</f>
        <v>#N/A</v>
      </c>
      <c r="AI11" s="54" t="e">
        <f>1/AG13</f>
        <v>#N/A</v>
      </c>
      <c r="AJ11" s="54" t="e">
        <f>1/AG14</f>
        <v>#N/A</v>
      </c>
      <c r="AK11" s="54" t="e">
        <f>1/AG15</f>
        <v>#N/A</v>
      </c>
      <c r="AL11" s="54" t="e">
        <f t="shared" ref="AL11" si="2">1/AG16</f>
        <v>#N/A</v>
      </c>
      <c r="AM11" s="54" t="e">
        <f>1/AG17</f>
        <v>#N/A</v>
      </c>
      <c r="AN11" s="54" t="e">
        <f>1/AG18</f>
        <v>#N/A</v>
      </c>
      <c r="AO11" s="54" t="e">
        <f>1/AG19</f>
        <v>#N/A</v>
      </c>
      <c r="AP11" s="54" t="e">
        <f>1/AG20</f>
        <v>#N/A</v>
      </c>
      <c r="AQ11" s="55" t="e">
        <f t="shared" si="1"/>
        <v>#N/A</v>
      </c>
      <c r="AR11" s="42"/>
      <c r="AS11" s="42"/>
      <c r="AT11" s="42"/>
      <c r="AU11" s="42"/>
      <c r="AV11" s="42"/>
      <c r="AW11" s="42"/>
      <c r="AX11" s="42"/>
      <c r="AY11" s="42"/>
      <c r="AZ11" s="42"/>
      <c r="BA11" s="42"/>
      <c r="BB11" s="42"/>
      <c r="BC11" s="42"/>
      <c r="BD11" s="42"/>
      <c r="BE11" s="42"/>
      <c r="BF11" s="42"/>
      <c r="BG11" s="42"/>
      <c r="BH11" s="42"/>
    </row>
    <row r="12" spans="1:60" s="43" customFormat="1" ht="39.950000000000003" customHeight="1">
      <c r="A12" s="42"/>
      <c r="B12" s="46"/>
      <c r="C12" s="48"/>
      <c r="D12" s="42"/>
      <c r="E12" s="38" t="s">
        <v>236</v>
      </c>
      <c r="F12" s="10"/>
      <c r="G12" s="8"/>
      <c r="H12" s="8"/>
      <c r="I12" s="8"/>
      <c r="J12" s="8"/>
      <c r="K12" s="8"/>
      <c r="L12" s="11"/>
      <c r="M12" s="11"/>
      <c r="N12" s="11"/>
      <c r="O12" s="11"/>
      <c r="P12" s="11"/>
      <c r="Q12" s="11"/>
      <c r="R12" s="11"/>
      <c r="S12" s="11"/>
      <c r="T12" s="11"/>
      <c r="U12" s="8" t="e">
        <f t="shared" si="0"/>
        <v>#N/A</v>
      </c>
      <c r="V12" s="52" t="e">
        <f>RANK(U12,$U6:$U20,0)</f>
        <v>#N/A</v>
      </c>
      <c r="W12" s="47"/>
      <c r="X12" s="42"/>
      <c r="Y12" s="42"/>
      <c r="Z12" s="42"/>
      <c r="AA12" s="42"/>
      <c r="AB12" s="56" t="e">
        <f>VLOOKUP(F12, Table283[#All], 2, 0)</f>
        <v>#N/A</v>
      </c>
      <c r="AC12" s="56" t="e">
        <f>VLOOKUP(G12, Table283[#All], 2, 0)</f>
        <v>#N/A</v>
      </c>
      <c r="AD12" s="56" t="e">
        <f>VLOOKUP(H12, Table283[#All], 2, 0)</f>
        <v>#N/A</v>
      </c>
      <c r="AE12" s="56" t="e">
        <f>VLOOKUP(I12, Table283[#All], 2, 0)</f>
        <v>#N/A</v>
      </c>
      <c r="AF12" s="56" t="e">
        <f>VLOOKUP(J12, Table283[#All], 2, 0)</f>
        <v>#N/A</v>
      </c>
      <c r="AG12" s="56" t="e">
        <f>VLOOKUP(K12, Table283[#All], 2, 0)</f>
        <v>#N/A</v>
      </c>
      <c r="AH12" s="53"/>
      <c r="AI12" s="54" t="e">
        <f>1/AH13</f>
        <v>#N/A</v>
      </c>
      <c r="AJ12" s="54" t="e">
        <f>1/AH14</f>
        <v>#N/A</v>
      </c>
      <c r="AK12" s="54" t="e">
        <f>1/AH15</f>
        <v>#N/A</v>
      </c>
      <c r="AL12" s="54" t="e">
        <f>1/AH16</f>
        <v>#N/A</v>
      </c>
      <c r="AM12" s="54" t="e">
        <f t="shared" ref="AM12" si="3">1/AH17</f>
        <v>#N/A</v>
      </c>
      <c r="AN12" s="54" t="e">
        <f>1/AH18</f>
        <v>#N/A</v>
      </c>
      <c r="AO12" s="54" t="e">
        <f>1/AH19</f>
        <v>#N/A</v>
      </c>
      <c r="AP12" s="54" t="e">
        <f>1/AH20</f>
        <v>#N/A</v>
      </c>
      <c r="AQ12" s="55" t="e">
        <f t="shared" si="1"/>
        <v>#N/A</v>
      </c>
      <c r="AR12" s="42"/>
      <c r="AS12" s="42"/>
      <c r="AT12" s="42"/>
      <c r="AU12" s="42"/>
      <c r="AV12" s="42"/>
      <c r="AW12" s="42"/>
      <c r="AX12" s="42"/>
      <c r="AY12" s="42"/>
      <c r="AZ12" s="42"/>
      <c r="BA12" s="42"/>
      <c r="BB12" s="42"/>
      <c r="BC12" s="42"/>
      <c r="BD12" s="42"/>
      <c r="BE12" s="42"/>
      <c r="BF12" s="42"/>
      <c r="BG12" s="42"/>
      <c r="BH12" s="42"/>
    </row>
    <row r="13" spans="1:60" s="43" customFormat="1" ht="39.950000000000003" customHeight="1">
      <c r="A13" s="42"/>
      <c r="B13" s="46"/>
      <c r="C13" s="48"/>
      <c r="D13" s="42"/>
      <c r="E13" s="38" t="s">
        <v>403</v>
      </c>
      <c r="F13" s="10"/>
      <c r="G13" s="10"/>
      <c r="H13" s="10"/>
      <c r="I13" s="8"/>
      <c r="J13" s="8"/>
      <c r="K13" s="10"/>
      <c r="L13" s="10"/>
      <c r="M13" s="12"/>
      <c r="N13" s="12"/>
      <c r="O13" s="12"/>
      <c r="P13" s="12"/>
      <c r="Q13" s="12"/>
      <c r="R13" s="12"/>
      <c r="S13" s="12"/>
      <c r="T13" s="12"/>
      <c r="U13" s="8" t="e">
        <f t="shared" si="0"/>
        <v>#N/A</v>
      </c>
      <c r="V13" s="52" t="e">
        <f>RANK(U13,$U6:$U20,0)</f>
        <v>#N/A</v>
      </c>
      <c r="W13" s="47"/>
      <c r="X13" s="42"/>
      <c r="Y13" s="42"/>
      <c r="Z13" s="42"/>
      <c r="AA13" s="42"/>
      <c r="AB13" s="56" t="e">
        <f>VLOOKUP(F13, Table283[#All], 2, 0)</f>
        <v>#N/A</v>
      </c>
      <c r="AC13" s="56" t="e">
        <f>VLOOKUP(G13, Table283[#All], 2, 0)</f>
        <v>#N/A</v>
      </c>
      <c r="AD13" s="56" t="e">
        <f>VLOOKUP(H13, Table283[#All], 2, 0)</f>
        <v>#N/A</v>
      </c>
      <c r="AE13" s="56" t="e">
        <f>VLOOKUP(I13, Table283[#All], 2, 0)</f>
        <v>#N/A</v>
      </c>
      <c r="AF13" s="56" t="e">
        <f>VLOOKUP(J13, Table283[#All], 2, 0)</f>
        <v>#N/A</v>
      </c>
      <c r="AG13" s="56" t="e">
        <f>VLOOKUP(K13, Table283[#All], 2, 0)</f>
        <v>#N/A</v>
      </c>
      <c r="AH13" s="56" t="e">
        <f>VLOOKUP(L13, Table283[#All], 2, 0)</f>
        <v>#N/A</v>
      </c>
      <c r="AI13" s="66"/>
      <c r="AJ13" s="67" t="e">
        <f>1/AI14</f>
        <v>#N/A</v>
      </c>
      <c r="AK13" s="54" t="e">
        <f>1/AI15</f>
        <v>#N/A</v>
      </c>
      <c r="AL13" s="54" t="e">
        <f>1/AI16</f>
        <v>#N/A</v>
      </c>
      <c r="AM13" s="54" t="e">
        <f>1/AI17</f>
        <v>#N/A</v>
      </c>
      <c r="AN13" s="54" t="e">
        <f>1/AI18</f>
        <v>#N/A</v>
      </c>
      <c r="AO13" s="54" t="e">
        <f>1/AI19</f>
        <v>#N/A</v>
      </c>
      <c r="AP13" s="54" t="e">
        <f>1/AI20</f>
        <v>#N/A</v>
      </c>
      <c r="AQ13" s="55" t="e">
        <f t="shared" si="1"/>
        <v>#N/A</v>
      </c>
      <c r="AR13" s="42"/>
      <c r="AS13" s="42"/>
      <c r="AT13" s="42"/>
      <c r="AU13" s="42"/>
      <c r="AV13" s="42"/>
      <c r="AW13" s="42"/>
      <c r="AX13" s="42"/>
      <c r="AY13" s="42"/>
      <c r="AZ13" s="42"/>
      <c r="BA13" s="42"/>
      <c r="BB13" s="42"/>
      <c r="BC13" s="42"/>
      <c r="BD13" s="42"/>
      <c r="BE13" s="42"/>
      <c r="BF13" s="42"/>
      <c r="BG13" s="42"/>
      <c r="BH13" s="42"/>
    </row>
    <row r="14" spans="1:60" s="43" customFormat="1" ht="39.950000000000003" customHeight="1">
      <c r="A14" s="42"/>
      <c r="B14" s="46"/>
      <c r="C14" s="48"/>
      <c r="D14" s="42"/>
      <c r="E14" s="38" t="s">
        <v>237</v>
      </c>
      <c r="F14" s="8"/>
      <c r="G14" s="8"/>
      <c r="H14" s="10"/>
      <c r="I14" s="8"/>
      <c r="J14" s="8"/>
      <c r="K14" s="8"/>
      <c r="L14" s="10"/>
      <c r="M14" s="10"/>
      <c r="N14" s="12"/>
      <c r="O14" s="12"/>
      <c r="P14" s="12"/>
      <c r="Q14" s="12"/>
      <c r="R14" s="12"/>
      <c r="S14" s="12"/>
      <c r="T14" s="12"/>
      <c r="U14" s="8" t="e">
        <f t="shared" si="0"/>
        <v>#N/A</v>
      </c>
      <c r="V14" s="52" t="e">
        <f>RANK(U14,$U6:$U20,0)</f>
        <v>#N/A</v>
      </c>
      <c r="W14" s="47"/>
      <c r="X14" s="42"/>
      <c r="Y14" s="42"/>
      <c r="Z14" s="42"/>
      <c r="AA14" s="42"/>
      <c r="AB14" s="56" t="e">
        <f>VLOOKUP(F14, Table283[#All], 2, 0)</f>
        <v>#N/A</v>
      </c>
      <c r="AC14" s="56" t="e">
        <f>VLOOKUP(G14, Table283[#All], 2, 0)</f>
        <v>#N/A</v>
      </c>
      <c r="AD14" s="56" t="e">
        <f>VLOOKUP(H14, Table283[#All], 2, 0)</f>
        <v>#N/A</v>
      </c>
      <c r="AE14" s="56" t="e">
        <f>VLOOKUP(I14, Table283[#All], 2, 0)</f>
        <v>#N/A</v>
      </c>
      <c r="AF14" s="56" t="e">
        <f>VLOOKUP(J14, Table283[#All], 2, 0)</f>
        <v>#N/A</v>
      </c>
      <c r="AG14" s="56" t="e">
        <f>VLOOKUP(K14, Table283[#All], 2, 0)</f>
        <v>#N/A</v>
      </c>
      <c r="AH14" s="56" t="e">
        <f>VLOOKUP(L14, Table283[#All], 2, 0)</f>
        <v>#N/A</v>
      </c>
      <c r="AI14" s="56" t="e">
        <f>VLOOKUP(M14, Table283[#All], 2, 0)</f>
        <v>#N/A</v>
      </c>
      <c r="AJ14" s="66"/>
      <c r="AK14" s="54" t="e">
        <f>1/AJ15</f>
        <v>#N/A</v>
      </c>
      <c r="AL14" s="54" t="e">
        <f>1/AJ16</f>
        <v>#N/A</v>
      </c>
      <c r="AM14" s="54" t="e">
        <f>1/AJ17</f>
        <v>#N/A</v>
      </c>
      <c r="AN14" s="54" t="e">
        <f>1/AJ18</f>
        <v>#N/A</v>
      </c>
      <c r="AO14" s="54" t="e">
        <f>1/AJ19</f>
        <v>#N/A</v>
      </c>
      <c r="AP14" s="54" t="e">
        <f>1/AJ20</f>
        <v>#N/A</v>
      </c>
      <c r="AQ14" s="55" t="e">
        <f t="shared" si="1"/>
        <v>#N/A</v>
      </c>
      <c r="AR14" s="42"/>
      <c r="AS14" s="42"/>
      <c r="AT14" s="42"/>
      <c r="AU14" s="42"/>
      <c r="AV14" s="42"/>
      <c r="AW14" s="42"/>
      <c r="AX14" s="42"/>
      <c r="AY14" s="42"/>
      <c r="AZ14" s="42"/>
      <c r="BA14" s="42"/>
      <c r="BB14" s="42"/>
      <c r="BC14" s="42"/>
      <c r="BD14" s="42"/>
      <c r="BE14" s="42"/>
      <c r="BF14" s="42"/>
      <c r="BG14" s="42"/>
      <c r="BH14" s="42"/>
    </row>
    <row r="15" spans="1:60" s="43" customFormat="1" ht="39.950000000000003" customHeight="1">
      <c r="A15" s="42"/>
      <c r="B15" s="46"/>
      <c r="C15" s="48"/>
      <c r="D15" s="42"/>
      <c r="E15" s="38" t="s">
        <v>238</v>
      </c>
      <c r="F15" s="10"/>
      <c r="G15" s="10"/>
      <c r="H15" s="8"/>
      <c r="I15" s="10"/>
      <c r="J15" s="8"/>
      <c r="K15" s="10"/>
      <c r="L15" s="8"/>
      <c r="M15" s="10"/>
      <c r="N15" s="8"/>
      <c r="O15" s="12"/>
      <c r="P15" s="12"/>
      <c r="Q15" s="12"/>
      <c r="R15" s="12"/>
      <c r="S15" s="12"/>
      <c r="T15" s="12"/>
      <c r="U15" s="8" t="e">
        <f t="shared" si="0"/>
        <v>#N/A</v>
      </c>
      <c r="V15" s="52" t="e">
        <f>RANK(U15,$U6:$U20,0)</f>
        <v>#N/A</v>
      </c>
      <c r="W15" s="47"/>
      <c r="X15" s="42"/>
      <c r="Y15" s="42"/>
      <c r="Z15" s="42"/>
      <c r="AA15" s="42"/>
      <c r="AB15" s="56" t="e">
        <f>VLOOKUP(F15, Table283[#All], 2, 0)</f>
        <v>#N/A</v>
      </c>
      <c r="AC15" s="56" t="e">
        <f>VLOOKUP(G15, Table283[#All], 2, 0)</f>
        <v>#N/A</v>
      </c>
      <c r="AD15" s="56" t="e">
        <f>VLOOKUP(H15, Table283[#All], 2, 0)</f>
        <v>#N/A</v>
      </c>
      <c r="AE15" s="56" t="e">
        <f>VLOOKUP(I15, Table283[#All], 2, 0)</f>
        <v>#N/A</v>
      </c>
      <c r="AF15" s="56" t="e">
        <f>VLOOKUP(J15, Table283[#All], 2, 0)</f>
        <v>#N/A</v>
      </c>
      <c r="AG15" s="56" t="e">
        <f>VLOOKUP(K15, Table283[#All], 2, 0)</f>
        <v>#N/A</v>
      </c>
      <c r="AH15" s="56" t="e">
        <f>VLOOKUP(L15, Table283[#All], 2, 0)</f>
        <v>#N/A</v>
      </c>
      <c r="AI15" s="56" t="e">
        <f>VLOOKUP(M15, Table283[#All], 2, 0)</f>
        <v>#N/A</v>
      </c>
      <c r="AJ15" s="56" t="e">
        <f>VLOOKUP(N15, Table283[#All], 2, 0)</f>
        <v>#N/A</v>
      </c>
      <c r="AK15" s="58"/>
      <c r="AL15" s="54" t="e">
        <f>1/AK16</f>
        <v>#N/A</v>
      </c>
      <c r="AM15" s="54" t="e">
        <f>1/AK17</f>
        <v>#N/A</v>
      </c>
      <c r="AN15" s="54" t="e">
        <f>1/AK18</f>
        <v>#N/A</v>
      </c>
      <c r="AO15" s="54" t="e">
        <f>1/AK19</f>
        <v>#N/A</v>
      </c>
      <c r="AP15" s="54" t="e">
        <f>1/AK20</f>
        <v>#N/A</v>
      </c>
      <c r="AQ15" s="55" t="e">
        <f t="shared" si="1"/>
        <v>#N/A</v>
      </c>
      <c r="AR15" s="42"/>
      <c r="AS15" s="42"/>
      <c r="AT15" s="42"/>
      <c r="AU15" s="42"/>
      <c r="AV15" s="42"/>
      <c r="AW15" s="42"/>
      <c r="AX15" s="42"/>
      <c r="AY15" s="42"/>
      <c r="AZ15" s="42"/>
      <c r="BA15" s="42"/>
      <c r="BB15" s="42"/>
      <c r="BC15" s="42"/>
      <c r="BD15" s="42"/>
      <c r="BE15" s="42"/>
      <c r="BF15" s="42"/>
      <c r="BG15" s="42"/>
      <c r="BH15" s="42"/>
    </row>
    <row r="16" spans="1:60" s="43" customFormat="1" ht="39.950000000000003" customHeight="1">
      <c r="A16" s="42"/>
      <c r="B16" s="46"/>
      <c r="C16" s="48"/>
      <c r="D16" s="42"/>
      <c r="E16" s="38" t="s">
        <v>239</v>
      </c>
      <c r="F16" s="8"/>
      <c r="G16" s="10"/>
      <c r="H16" s="10"/>
      <c r="I16" s="8"/>
      <c r="J16" s="8"/>
      <c r="K16" s="8"/>
      <c r="L16" s="10"/>
      <c r="M16" s="8"/>
      <c r="N16" s="8"/>
      <c r="O16" s="8"/>
      <c r="P16" s="12"/>
      <c r="Q16" s="12"/>
      <c r="R16" s="12"/>
      <c r="S16" s="12"/>
      <c r="T16" s="12"/>
      <c r="U16" s="8" t="e">
        <f t="shared" si="0"/>
        <v>#N/A</v>
      </c>
      <c r="V16" s="52" t="e">
        <f>RANK(U16,$U6:$U20,0)</f>
        <v>#N/A</v>
      </c>
      <c r="W16" s="47"/>
      <c r="X16" s="42"/>
      <c r="Y16" s="42"/>
      <c r="Z16" s="42"/>
      <c r="AA16" s="42"/>
      <c r="AB16" s="56" t="e">
        <f>VLOOKUP(F16, Table283[#All], 2, 0)</f>
        <v>#N/A</v>
      </c>
      <c r="AC16" s="56" t="e">
        <f>VLOOKUP(G16, Table283[#All], 2, 0)</f>
        <v>#N/A</v>
      </c>
      <c r="AD16" s="56" t="e">
        <f>VLOOKUP(H16, Table283[#All], 2, 0)</f>
        <v>#N/A</v>
      </c>
      <c r="AE16" s="56" t="e">
        <f>VLOOKUP(I16, Table283[#All], 2, 0)</f>
        <v>#N/A</v>
      </c>
      <c r="AF16" s="56" t="e">
        <f>VLOOKUP(J16, Table283[#All], 2, 0)</f>
        <v>#N/A</v>
      </c>
      <c r="AG16" s="56" t="e">
        <f>VLOOKUP(K16, Table283[#All], 2, 0)</f>
        <v>#N/A</v>
      </c>
      <c r="AH16" s="56" t="e">
        <f>VLOOKUP(L16, Table283[#All], 2, 0)</f>
        <v>#N/A</v>
      </c>
      <c r="AI16" s="56" t="e">
        <f>VLOOKUP(M16, Table283[#All], 2, 0)</f>
        <v>#N/A</v>
      </c>
      <c r="AJ16" s="56" t="e">
        <f>VLOOKUP(N16, Table283[#All], 2, 0)</f>
        <v>#N/A</v>
      </c>
      <c r="AK16" s="56" t="e">
        <f>VLOOKUP(O16, Table283[#All], 2, 0)</f>
        <v>#N/A</v>
      </c>
      <c r="AL16" s="58"/>
      <c r="AM16" s="54" t="e">
        <f>1/AL17</f>
        <v>#N/A</v>
      </c>
      <c r="AN16" s="54" t="e">
        <f>1/AL18</f>
        <v>#N/A</v>
      </c>
      <c r="AO16" s="54" t="e">
        <f>1/AL19</f>
        <v>#N/A</v>
      </c>
      <c r="AP16" s="54" t="e">
        <f>1/AL20</f>
        <v>#N/A</v>
      </c>
      <c r="AQ16" s="55" t="e">
        <f t="shared" si="1"/>
        <v>#N/A</v>
      </c>
      <c r="AR16" s="42"/>
      <c r="AS16" s="42"/>
      <c r="AT16" s="42"/>
      <c r="AU16" s="42"/>
      <c r="AV16" s="42"/>
      <c r="AW16" s="42"/>
      <c r="AX16" s="42"/>
      <c r="AY16" s="42"/>
      <c r="AZ16" s="42"/>
      <c r="BA16" s="42"/>
      <c r="BB16" s="42"/>
      <c r="BC16" s="42"/>
      <c r="BD16" s="42"/>
      <c r="BE16" s="42"/>
      <c r="BF16" s="42"/>
      <c r="BG16" s="42"/>
      <c r="BH16" s="42"/>
    </row>
    <row r="17" spans="1:60" s="43" customFormat="1" ht="44.45" customHeight="1">
      <c r="A17" s="42"/>
      <c r="B17" s="46"/>
      <c r="C17" s="48"/>
      <c r="D17" s="42"/>
      <c r="E17" s="38" t="s">
        <v>240</v>
      </c>
      <c r="F17" s="8"/>
      <c r="G17" s="8"/>
      <c r="H17" s="8"/>
      <c r="I17" s="8"/>
      <c r="J17" s="8"/>
      <c r="K17" s="10"/>
      <c r="L17" s="10"/>
      <c r="M17" s="10"/>
      <c r="N17" s="10"/>
      <c r="O17" s="8"/>
      <c r="P17" s="8"/>
      <c r="Q17" s="9"/>
      <c r="R17" s="9"/>
      <c r="S17" s="9"/>
      <c r="T17" s="9"/>
      <c r="U17" s="8" t="e">
        <f t="shared" si="0"/>
        <v>#N/A</v>
      </c>
      <c r="V17" s="52" t="e">
        <f>RANK(U17,$U6:$U20,0)</f>
        <v>#N/A</v>
      </c>
      <c r="W17" s="47"/>
      <c r="X17" s="42"/>
      <c r="Y17" s="42"/>
      <c r="Z17" s="42"/>
      <c r="AA17" s="42"/>
      <c r="AB17" s="56" t="e">
        <f>VLOOKUP(F17, Table283[#All], 2, 0)</f>
        <v>#N/A</v>
      </c>
      <c r="AC17" s="56" t="e">
        <f>VLOOKUP(G17, Table283[#All], 2, 0)</f>
        <v>#N/A</v>
      </c>
      <c r="AD17" s="56" t="e">
        <f>VLOOKUP(H17, Table283[#All], 2, 0)</f>
        <v>#N/A</v>
      </c>
      <c r="AE17" s="56" t="e">
        <f>VLOOKUP(I17, Table283[#All], 2, 0)</f>
        <v>#N/A</v>
      </c>
      <c r="AF17" s="56" t="e">
        <f>VLOOKUP(J17, Table283[#All], 2, 0)</f>
        <v>#N/A</v>
      </c>
      <c r="AG17" s="56" t="e">
        <f>VLOOKUP(K17, Table283[#All], 2, 0)</f>
        <v>#N/A</v>
      </c>
      <c r="AH17" s="56" t="e">
        <f>VLOOKUP(L17, Table283[#All], 2, 0)</f>
        <v>#N/A</v>
      </c>
      <c r="AI17" s="56" t="e">
        <f>VLOOKUP(M17, Table283[#All], 2, 0)</f>
        <v>#N/A</v>
      </c>
      <c r="AJ17" s="56" t="e">
        <f>VLOOKUP(N17, Table283[#All], 2, 0)</f>
        <v>#N/A</v>
      </c>
      <c r="AK17" s="56" t="e">
        <f>VLOOKUP(O17, Table283[#All], 2, 0)</f>
        <v>#N/A</v>
      </c>
      <c r="AL17" s="56" t="e">
        <f>VLOOKUP(P17, Table283[#All], 2, 0)</f>
        <v>#N/A</v>
      </c>
      <c r="AM17" s="58"/>
      <c r="AN17" s="68" t="e">
        <f>1/AM18</f>
        <v>#N/A</v>
      </c>
      <c r="AO17" s="68" t="e">
        <f>1/AM19</f>
        <v>#N/A</v>
      </c>
      <c r="AP17" s="68" t="e">
        <f>1/AM20</f>
        <v>#N/A</v>
      </c>
      <c r="AQ17" s="55" t="e">
        <f>SUM(AB17:AN17)</f>
        <v>#N/A</v>
      </c>
      <c r="AR17" s="42"/>
      <c r="AS17" s="42"/>
      <c r="AT17" s="42"/>
      <c r="AU17" s="42"/>
      <c r="AV17" s="42"/>
      <c r="AW17" s="42"/>
      <c r="AX17" s="42"/>
      <c r="AY17" s="42"/>
      <c r="AZ17" s="42"/>
      <c r="BA17" s="42"/>
      <c r="BB17" s="42"/>
      <c r="BC17" s="42"/>
      <c r="BD17" s="42"/>
      <c r="BE17" s="42"/>
      <c r="BF17" s="42"/>
      <c r="BG17" s="42"/>
      <c r="BH17" s="42"/>
    </row>
    <row r="18" spans="1:60" s="43" customFormat="1" ht="47.25" customHeight="1">
      <c r="A18" s="42"/>
      <c r="B18" s="46"/>
      <c r="C18" s="48"/>
      <c r="D18" s="42"/>
      <c r="E18" s="38" t="s">
        <v>243</v>
      </c>
      <c r="F18" s="26"/>
      <c r="G18" s="26"/>
      <c r="H18" s="26"/>
      <c r="I18" s="26"/>
      <c r="J18" s="26"/>
      <c r="K18" s="26"/>
      <c r="L18" s="26"/>
      <c r="M18" s="26"/>
      <c r="N18" s="26"/>
      <c r="O18" s="26"/>
      <c r="P18" s="26"/>
      <c r="Q18" s="26"/>
      <c r="R18" s="12"/>
      <c r="S18" s="12"/>
      <c r="T18" s="12"/>
      <c r="U18" s="8" t="e">
        <f t="shared" si="0"/>
        <v>#N/A</v>
      </c>
      <c r="V18" s="52" t="e">
        <f>RANK(U18,$U6:$U20,0)</f>
        <v>#N/A</v>
      </c>
      <c r="W18" s="47"/>
      <c r="X18" s="42"/>
      <c r="Y18" s="42"/>
      <c r="Z18" s="42"/>
      <c r="AA18" s="42"/>
      <c r="AB18" s="56" t="e">
        <f>VLOOKUP(F18, Table283[#All], 2, 0)</f>
        <v>#N/A</v>
      </c>
      <c r="AC18" s="56" t="e">
        <f>VLOOKUP(G18, Table283[#All], 2, 0)</f>
        <v>#N/A</v>
      </c>
      <c r="AD18" s="56" t="e">
        <f>VLOOKUP(H18, Table283[#All], 2, 0)</f>
        <v>#N/A</v>
      </c>
      <c r="AE18" s="56" t="e">
        <f>VLOOKUP(I18, Table283[#All], 2, 0)</f>
        <v>#N/A</v>
      </c>
      <c r="AF18" s="56" t="e">
        <f>VLOOKUP(J18, Table283[#All], 2, 0)</f>
        <v>#N/A</v>
      </c>
      <c r="AG18" s="56" t="e">
        <f>VLOOKUP(K18, Table283[#All], 2, 0)</f>
        <v>#N/A</v>
      </c>
      <c r="AH18" s="56" t="e">
        <f>VLOOKUP(L18, Table283[#All], 2, 0)</f>
        <v>#N/A</v>
      </c>
      <c r="AI18" s="56" t="e">
        <f>VLOOKUP(M18, Table283[#All], 2, 0)</f>
        <v>#N/A</v>
      </c>
      <c r="AJ18" s="56" t="e">
        <f>VLOOKUP(N18, Table283[#All], 2, 0)</f>
        <v>#N/A</v>
      </c>
      <c r="AK18" s="56" t="e">
        <f>VLOOKUP(O18, Table283[#All], 2, 0)</f>
        <v>#N/A</v>
      </c>
      <c r="AL18" s="56" t="e">
        <f>VLOOKUP(P18, Table283[#All], 2, 0)</f>
        <v>#N/A</v>
      </c>
      <c r="AM18" s="56" t="e">
        <f>VLOOKUP(Q18, Table283[#All], 2, 0)</f>
        <v>#N/A</v>
      </c>
      <c r="AN18" s="58"/>
      <c r="AO18" s="68" t="e">
        <f>1/AN19</f>
        <v>#N/A</v>
      </c>
      <c r="AP18" s="68" t="e">
        <f>1/AN20</f>
        <v>#N/A</v>
      </c>
      <c r="AQ18" s="55" t="e">
        <f>SUM(AB18:AN18)</f>
        <v>#N/A</v>
      </c>
      <c r="AR18" s="42"/>
      <c r="AS18" s="42"/>
      <c r="AT18" s="42"/>
      <c r="AU18" s="42"/>
      <c r="AV18" s="42"/>
      <c r="AW18" s="42"/>
      <c r="AX18" s="42"/>
      <c r="AY18" s="42"/>
      <c r="AZ18" s="42"/>
      <c r="BA18" s="42"/>
      <c r="BB18" s="42"/>
      <c r="BC18" s="42"/>
      <c r="BD18" s="42"/>
      <c r="BE18" s="42"/>
      <c r="BF18" s="42"/>
      <c r="BG18" s="42"/>
      <c r="BH18" s="42"/>
    </row>
    <row r="19" spans="1:60" s="43" customFormat="1" ht="45" customHeight="1" thickBot="1">
      <c r="A19" s="42"/>
      <c r="B19" s="46"/>
      <c r="C19" s="61"/>
      <c r="D19" s="42"/>
      <c r="E19" s="38" t="s">
        <v>244</v>
      </c>
      <c r="F19" s="26"/>
      <c r="G19" s="26"/>
      <c r="H19" s="26"/>
      <c r="I19" s="26"/>
      <c r="J19" s="26"/>
      <c r="K19" s="26"/>
      <c r="L19" s="26"/>
      <c r="M19" s="26"/>
      <c r="N19" s="26"/>
      <c r="O19" s="26"/>
      <c r="P19" s="26"/>
      <c r="Q19" s="26"/>
      <c r="R19" s="26"/>
      <c r="S19" s="12"/>
      <c r="T19" s="12"/>
      <c r="U19" s="8" t="e">
        <f t="shared" si="0"/>
        <v>#N/A</v>
      </c>
      <c r="V19" s="52" t="e">
        <f>RANK(U19,$U8:$U20,0)</f>
        <v>#N/A</v>
      </c>
      <c r="W19" s="47"/>
      <c r="X19" s="42"/>
      <c r="Y19" s="42"/>
      <c r="Z19" s="42"/>
      <c r="AA19" s="42"/>
      <c r="AB19" s="56" t="e">
        <f>VLOOKUP(F19, Table283[#All], 2, 0)</f>
        <v>#N/A</v>
      </c>
      <c r="AC19" s="56" t="e">
        <f>VLOOKUP(G19, Table283[#All], 2, 0)</f>
        <v>#N/A</v>
      </c>
      <c r="AD19" s="56" t="e">
        <f>VLOOKUP(H19, Table283[#All], 2, 0)</f>
        <v>#N/A</v>
      </c>
      <c r="AE19" s="56" t="e">
        <f>VLOOKUP(I19, Table283[#All], 2, 0)</f>
        <v>#N/A</v>
      </c>
      <c r="AF19" s="56" t="e">
        <f>VLOOKUP(J19, Table283[#All], 2, 0)</f>
        <v>#N/A</v>
      </c>
      <c r="AG19" s="56" t="e">
        <f>VLOOKUP(K19, Table283[#All], 2, 0)</f>
        <v>#N/A</v>
      </c>
      <c r="AH19" s="56" t="e">
        <f>VLOOKUP(L19, Table283[#All], 2, 0)</f>
        <v>#N/A</v>
      </c>
      <c r="AI19" s="56" t="e">
        <f>VLOOKUP(M19, Table283[#All], 2, 0)</f>
        <v>#N/A</v>
      </c>
      <c r="AJ19" s="56" t="e">
        <f>VLOOKUP(N19, Table283[#All], 2, 0)</f>
        <v>#N/A</v>
      </c>
      <c r="AK19" s="56" t="e">
        <f>VLOOKUP(O19, Table283[#All], 2, 0)</f>
        <v>#N/A</v>
      </c>
      <c r="AL19" s="56" t="e">
        <f>VLOOKUP(P19, Table283[#All], 2, 0)</f>
        <v>#N/A</v>
      </c>
      <c r="AM19" s="56" t="e">
        <f>VLOOKUP(Q19, Table283[#All], 2, 0)</f>
        <v>#N/A</v>
      </c>
      <c r="AN19" s="56" t="e">
        <f>VLOOKUP(R19, Table283[#All], 2, 0)</f>
        <v>#N/A</v>
      </c>
      <c r="AO19" s="58"/>
      <c r="AP19" s="68" t="e">
        <f>1/AO20</f>
        <v>#N/A</v>
      </c>
      <c r="AQ19" s="55" t="e">
        <f>SUM(AB19:AN19)</f>
        <v>#N/A</v>
      </c>
      <c r="AR19" s="42"/>
      <c r="AS19" s="42"/>
      <c r="AT19" s="42"/>
      <c r="AU19" s="42"/>
      <c r="AV19" s="42"/>
      <c r="AW19" s="42"/>
      <c r="AX19" s="42"/>
      <c r="AY19" s="42"/>
      <c r="AZ19" s="42"/>
      <c r="BA19" s="42"/>
      <c r="BB19" s="42"/>
      <c r="BC19" s="42"/>
      <c r="BD19" s="42"/>
      <c r="BE19" s="42"/>
      <c r="BF19" s="42"/>
      <c r="BG19" s="42"/>
      <c r="BH19" s="42"/>
    </row>
    <row r="20" spans="1:60" s="43" customFormat="1" ht="33.75" customHeight="1" thickBot="1">
      <c r="A20" s="42"/>
      <c r="B20" s="46"/>
      <c r="C20" s="42"/>
      <c r="D20" s="42"/>
      <c r="E20" s="39" t="s">
        <v>247</v>
      </c>
      <c r="F20" s="27"/>
      <c r="G20" s="27"/>
      <c r="H20" s="27"/>
      <c r="I20" s="27"/>
      <c r="J20" s="27"/>
      <c r="K20" s="27"/>
      <c r="L20" s="27"/>
      <c r="M20" s="27"/>
      <c r="N20" s="27"/>
      <c r="O20" s="27"/>
      <c r="P20" s="27"/>
      <c r="Q20" s="27"/>
      <c r="R20" s="27"/>
      <c r="S20" s="27"/>
      <c r="T20" s="6"/>
      <c r="U20" s="13" t="e">
        <f t="shared" si="0"/>
        <v>#N/A</v>
      </c>
      <c r="V20" s="57" t="e">
        <f>RANK(U20,$U6:$U20,0)</f>
        <v>#N/A</v>
      </c>
      <c r="W20" s="47"/>
      <c r="X20" s="42"/>
      <c r="Y20" s="42"/>
      <c r="Z20" s="42"/>
      <c r="AA20" s="42"/>
      <c r="AB20" s="56" t="e">
        <f>VLOOKUP(F20, Table283[#All], 2, 0)</f>
        <v>#N/A</v>
      </c>
      <c r="AC20" s="56" t="e">
        <f>VLOOKUP(G20, Table283[#All], 2, 0)</f>
        <v>#N/A</v>
      </c>
      <c r="AD20" s="56" t="e">
        <f>VLOOKUP(H20, Table283[#All], 2, 0)</f>
        <v>#N/A</v>
      </c>
      <c r="AE20" s="56" t="e">
        <f>VLOOKUP(I20, Table283[#All], 2, 0)</f>
        <v>#N/A</v>
      </c>
      <c r="AF20" s="56" t="e">
        <f>VLOOKUP(J20, Table283[#All], 2, 0)</f>
        <v>#N/A</v>
      </c>
      <c r="AG20" s="56" t="e">
        <f>VLOOKUP(K20, Table283[#All], 2, 0)</f>
        <v>#N/A</v>
      </c>
      <c r="AH20" s="56" t="e">
        <f>VLOOKUP(L20, Table283[#All], 2, 0)</f>
        <v>#N/A</v>
      </c>
      <c r="AI20" s="56" t="e">
        <f>VLOOKUP(M20, Table283[#All], 2, 0)</f>
        <v>#N/A</v>
      </c>
      <c r="AJ20" s="56" t="e">
        <f>VLOOKUP(N20, Table283[#All], 2, 0)</f>
        <v>#N/A</v>
      </c>
      <c r="AK20" s="56" t="e">
        <f>VLOOKUP(O20, Table283[#All], 2, 0)</f>
        <v>#N/A</v>
      </c>
      <c r="AL20" s="56" t="e">
        <f>VLOOKUP(P20, Table283[#All], 2, 0)</f>
        <v>#N/A</v>
      </c>
      <c r="AM20" s="56" t="e">
        <f>VLOOKUP(Q20, Table283[#All], 2, 0)</f>
        <v>#N/A</v>
      </c>
      <c r="AN20" s="56" t="e">
        <f>VLOOKUP(R20, Table283[#All], 2, 0)</f>
        <v>#N/A</v>
      </c>
      <c r="AO20" s="56" t="e">
        <f>VLOOKUP(S20, Table283[#All], 2, 0)</f>
        <v>#N/A</v>
      </c>
      <c r="AP20" s="58"/>
      <c r="AQ20" s="55" t="e">
        <f>SUM(AB20:AN20)</f>
        <v>#N/A</v>
      </c>
      <c r="AR20" s="42"/>
      <c r="AS20" s="42"/>
      <c r="AT20" s="42"/>
      <c r="AU20" s="42"/>
      <c r="AV20" s="42"/>
      <c r="AW20" s="42"/>
      <c r="AX20" s="42"/>
      <c r="AY20" s="42"/>
      <c r="AZ20" s="42"/>
      <c r="BA20" s="42"/>
      <c r="BB20" s="42"/>
      <c r="BC20" s="42"/>
      <c r="BD20" s="42"/>
      <c r="BE20" s="42"/>
      <c r="BF20" s="42"/>
      <c r="BG20" s="42"/>
      <c r="BH20" s="42"/>
    </row>
    <row r="21" spans="1:60" s="43" customFormat="1">
      <c r="A21" s="42"/>
      <c r="B21" s="46"/>
      <c r="C21" s="42"/>
      <c r="D21" s="42"/>
      <c r="E21" s="71"/>
      <c r="F21" s="72"/>
      <c r="G21" s="72"/>
      <c r="H21" s="72"/>
      <c r="I21" s="72"/>
      <c r="J21" s="72"/>
      <c r="K21" s="72"/>
      <c r="L21" s="72"/>
      <c r="M21" s="72"/>
      <c r="N21" s="72"/>
      <c r="O21" s="72"/>
      <c r="P21" s="72"/>
      <c r="Q21" s="72"/>
      <c r="R21" s="72"/>
      <c r="S21" s="72"/>
      <c r="T21" s="72"/>
      <c r="U21" s="73"/>
      <c r="V21" s="42"/>
      <c r="W21" s="47"/>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row>
    <row r="22" spans="1:60" s="43" customFormat="1" ht="16.5" thickBot="1">
      <c r="A22" s="42"/>
      <c r="B22" s="62"/>
      <c r="C22" s="63"/>
      <c r="D22" s="63"/>
      <c r="E22" s="33"/>
      <c r="F22" s="33"/>
      <c r="G22" s="33"/>
      <c r="H22" s="33"/>
      <c r="I22" s="33"/>
      <c r="J22" s="33"/>
      <c r="K22" s="33"/>
      <c r="L22" s="33"/>
      <c r="M22" s="33"/>
      <c r="N22" s="33"/>
      <c r="O22" s="33"/>
      <c r="P22" s="33"/>
      <c r="Q22" s="33"/>
      <c r="R22" s="33"/>
      <c r="S22" s="33"/>
      <c r="T22" s="33"/>
      <c r="U22" s="63"/>
      <c r="V22" s="63"/>
      <c r="W22" s="64"/>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row>
    <row r="23" spans="1:60" s="43" customFormat="1">
      <c r="A23" s="42"/>
      <c r="B23" s="42"/>
      <c r="C23" s="42"/>
      <c r="D23" s="42"/>
      <c r="E23" s="31"/>
      <c r="F23" s="31"/>
      <c r="G23" s="31"/>
      <c r="H23" s="31"/>
      <c r="I23" s="31"/>
      <c r="J23" s="31"/>
      <c r="K23" s="31"/>
      <c r="L23" s="31"/>
      <c r="M23" s="31"/>
      <c r="N23" s="31"/>
      <c r="O23" s="31"/>
      <c r="P23" s="31"/>
      <c r="Q23" s="31"/>
      <c r="R23" s="31"/>
      <c r="S23" s="31"/>
      <c r="T23" s="31"/>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row>
    <row r="24" spans="1:60" s="43" customFormat="1">
      <c r="A24" s="42"/>
      <c r="B24" s="42"/>
      <c r="C24" s="42"/>
      <c r="D24" s="42"/>
      <c r="E24" s="31"/>
      <c r="F24" s="31"/>
      <c r="G24" s="31"/>
      <c r="H24" s="31"/>
      <c r="I24" s="31"/>
      <c r="J24" s="31"/>
      <c r="K24" s="31"/>
      <c r="L24" s="31"/>
      <c r="M24" s="31"/>
      <c r="N24" s="31"/>
      <c r="O24" s="31"/>
      <c r="P24" s="31"/>
      <c r="Q24" s="31"/>
      <c r="R24" s="31"/>
      <c r="S24" s="31"/>
      <c r="T24" s="31"/>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row>
    <row r="25" spans="1:60" s="43" customFormat="1">
      <c r="A25" s="42"/>
      <c r="B25" s="42"/>
      <c r="C25" s="42"/>
      <c r="D25" s="42"/>
      <c r="E25" s="31"/>
      <c r="F25" s="31"/>
      <c r="G25" s="31"/>
      <c r="H25" s="31"/>
      <c r="I25" s="31"/>
      <c r="J25" s="31"/>
      <c r="K25" s="31"/>
      <c r="L25" s="31"/>
      <c r="M25" s="31"/>
      <c r="N25" s="31"/>
      <c r="O25" s="31"/>
      <c r="P25" s="31"/>
      <c r="Q25" s="31"/>
      <c r="R25" s="31"/>
      <c r="S25" s="31"/>
      <c r="T25" s="31"/>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row>
    <row r="26" spans="1:60" s="43" customFormat="1">
      <c r="A26" s="42"/>
      <c r="B26" s="42"/>
      <c r="C26" s="42"/>
      <c r="D26" s="42"/>
      <c r="E26" s="31"/>
      <c r="F26" s="31"/>
      <c r="G26" s="31"/>
      <c r="H26" s="31"/>
      <c r="I26" s="31"/>
      <c r="J26" s="31"/>
      <c r="K26" s="31"/>
      <c r="L26" s="31"/>
      <c r="M26" s="31"/>
      <c r="N26" s="31"/>
      <c r="O26" s="31"/>
      <c r="P26" s="31"/>
      <c r="Q26" s="31"/>
      <c r="R26" s="31"/>
      <c r="S26" s="31"/>
      <c r="T26" s="31"/>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row>
    <row r="27" spans="1:60" s="43" customFormat="1">
      <c r="A27" s="42"/>
      <c r="B27" s="42"/>
      <c r="C27" s="42"/>
      <c r="D27" s="42"/>
      <c r="E27" s="31"/>
      <c r="F27" s="31"/>
      <c r="G27" s="31"/>
      <c r="H27" s="31"/>
      <c r="I27" s="31"/>
      <c r="J27" s="31"/>
      <c r="K27" s="31"/>
      <c r="L27" s="31"/>
      <c r="M27" s="31"/>
      <c r="N27" s="31"/>
      <c r="O27" s="31"/>
      <c r="P27" s="31"/>
      <c r="Q27" s="31"/>
      <c r="R27" s="31"/>
      <c r="S27" s="31"/>
      <c r="T27" s="31"/>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row>
    <row r="28" spans="1:60" s="43" customFormat="1">
      <c r="A28" s="42"/>
      <c r="B28" s="42"/>
      <c r="C28" s="42"/>
      <c r="D28" s="42"/>
      <c r="E28" s="31"/>
      <c r="F28" s="31"/>
      <c r="G28" s="31"/>
      <c r="H28" s="31"/>
      <c r="I28" s="31"/>
      <c r="J28" s="31"/>
      <c r="K28" s="31"/>
      <c r="L28" s="31"/>
      <c r="M28" s="31"/>
      <c r="N28" s="31"/>
      <c r="O28" s="31"/>
      <c r="P28" s="31"/>
      <c r="Q28" s="31"/>
      <c r="R28" s="31"/>
      <c r="S28" s="31"/>
      <c r="T28" s="31"/>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row>
    <row r="29" spans="1:60" s="43" customFormat="1">
      <c r="A29" s="42"/>
      <c r="B29" s="42"/>
      <c r="C29" s="42"/>
      <c r="D29" s="42"/>
      <c r="E29" s="31"/>
      <c r="F29" s="31"/>
      <c r="G29" s="31"/>
      <c r="H29" s="31"/>
      <c r="I29" s="31"/>
      <c r="J29" s="31"/>
      <c r="K29" s="31"/>
      <c r="L29" s="31"/>
      <c r="M29" s="31"/>
      <c r="N29" s="31"/>
      <c r="O29" s="31"/>
      <c r="P29" s="31"/>
      <c r="Q29" s="31"/>
      <c r="R29" s="31"/>
      <c r="S29" s="31"/>
      <c r="T29" s="31"/>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row>
    <row r="30" spans="1:60" s="43" customFormat="1">
      <c r="A30" s="42"/>
      <c r="B30" s="42"/>
      <c r="C30" s="42"/>
      <c r="D30" s="42"/>
      <c r="E30" s="31"/>
      <c r="F30" s="31"/>
      <c r="G30" s="31"/>
      <c r="H30" s="31"/>
      <c r="I30" s="31"/>
      <c r="J30" s="31"/>
      <c r="K30" s="31"/>
      <c r="L30" s="31"/>
      <c r="M30" s="31"/>
      <c r="N30" s="31"/>
      <c r="O30" s="31"/>
      <c r="P30" s="31"/>
      <c r="Q30" s="31"/>
      <c r="R30" s="31"/>
      <c r="S30" s="31"/>
      <c r="T30" s="31"/>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row>
    <row r="31" spans="1:60" s="43" customFormat="1">
      <c r="A31" s="42"/>
      <c r="B31" s="42"/>
      <c r="C31" s="42"/>
      <c r="D31" s="42"/>
      <c r="E31" s="31"/>
      <c r="F31" s="31"/>
      <c r="G31" s="31"/>
      <c r="H31" s="31"/>
      <c r="I31" s="31"/>
      <c r="J31" s="31"/>
      <c r="K31" s="31"/>
      <c r="L31" s="31"/>
      <c r="M31" s="31"/>
      <c r="N31" s="31"/>
      <c r="O31" s="31"/>
      <c r="P31" s="31"/>
      <c r="Q31" s="31"/>
      <c r="R31" s="31"/>
      <c r="S31" s="31"/>
      <c r="T31" s="31"/>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row>
    <row r="32" spans="1:60" s="43" customFormat="1">
      <c r="A32" s="42"/>
      <c r="B32" s="42"/>
      <c r="C32" s="42"/>
      <c r="D32" s="42"/>
      <c r="E32" s="31"/>
      <c r="F32" s="31"/>
      <c r="G32" s="31"/>
      <c r="H32" s="31"/>
      <c r="I32" s="31"/>
      <c r="J32" s="31"/>
      <c r="K32" s="31"/>
      <c r="L32" s="31"/>
      <c r="M32" s="31"/>
      <c r="N32" s="31"/>
      <c r="O32" s="31"/>
      <c r="P32" s="31"/>
      <c r="Q32" s="31"/>
      <c r="R32" s="31"/>
      <c r="S32" s="31"/>
      <c r="T32" s="31"/>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row>
    <row r="33" spans="1:60" s="43" customFormat="1">
      <c r="A33" s="42"/>
      <c r="B33" s="42"/>
      <c r="C33" s="42"/>
      <c r="D33" s="42"/>
      <c r="E33" s="31"/>
      <c r="F33" s="31"/>
      <c r="G33" s="31"/>
      <c r="H33" s="31"/>
      <c r="I33" s="31"/>
      <c r="J33" s="31"/>
      <c r="K33" s="31"/>
      <c r="L33" s="31"/>
      <c r="M33" s="31"/>
      <c r="N33" s="31"/>
      <c r="O33" s="31"/>
      <c r="P33" s="31"/>
      <c r="Q33" s="31"/>
      <c r="R33" s="31"/>
      <c r="S33" s="31"/>
      <c r="T33" s="31"/>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row>
    <row r="34" spans="1:60" s="43" customFormat="1">
      <c r="A34" s="42"/>
      <c r="B34" s="42"/>
      <c r="C34" s="42"/>
      <c r="D34" s="42"/>
      <c r="E34" s="31"/>
      <c r="F34" s="31"/>
      <c r="G34" s="31"/>
      <c r="H34" s="31"/>
      <c r="I34" s="31"/>
      <c r="J34" s="31"/>
      <c r="K34" s="31"/>
      <c r="L34" s="31"/>
      <c r="M34" s="31"/>
      <c r="N34" s="31"/>
      <c r="O34" s="31"/>
      <c r="P34" s="31"/>
      <c r="Q34" s="31"/>
      <c r="R34" s="31"/>
      <c r="S34" s="31"/>
      <c r="T34" s="31"/>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row>
    <row r="35" spans="1:60" s="43" customFormat="1">
      <c r="A35" s="42"/>
      <c r="B35" s="42"/>
      <c r="C35" s="42"/>
      <c r="D35" s="42"/>
      <c r="E35" s="31"/>
      <c r="F35" s="31"/>
      <c r="G35" s="31"/>
      <c r="H35" s="31"/>
      <c r="I35" s="31"/>
      <c r="J35" s="31"/>
      <c r="K35" s="31"/>
      <c r="L35" s="31"/>
      <c r="M35" s="31"/>
      <c r="N35" s="31"/>
      <c r="O35" s="31"/>
      <c r="P35" s="31"/>
      <c r="Q35" s="31"/>
      <c r="R35" s="31"/>
      <c r="S35" s="31"/>
      <c r="T35" s="31"/>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row>
    <row r="36" spans="1:60" s="43" customFormat="1">
      <c r="A36" s="42"/>
      <c r="B36" s="42"/>
      <c r="C36" s="42"/>
      <c r="D36" s="42"/>
      <c r="E36" s="31"/>
      <c r="F36" s="31"/>
      <c r="G36" s="31"/>
      <c r="H36" s="31"/>
      <c r="I36" s="31"/>
      <c r="J36" s="31"/>
      <c r="K36" s="31"/>
      <c r="L36" s="31"/>
      <c r="M36" s="31"/>
      <c r="N36" s="31"/>
      <c r="O36" s="31"/>
      <c r="P36" s="31"/>
      <c r="Q36" s="31"/>
      <c r="R36" s="31"/>
      <c r="S36" s="31"/>
      <c r="T36" s="31"/>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row>
    <row r="37" spans="1:60" s="60" customFormat="1">
      <c r="A37" s="42"/>
      <c r="B37" s="42"/>
      <c r="C37" s="42"/>
      <c r="D37" s="42"/>
      <c r="E37" s="31"/>
      <c r="F37" s="31"/>
      <c r="G37" s="31"/>
      <c r="H37" s="31"/>
      <c r="I37" s="31"/>
      <c r="J37" s="31"/>
      <c r="K37" s="31"/>
      <c r="L37" s="31"/>
      <c r="M37" s="31"/>
      <c r="N37" s="31"/>
      <c r="O37" s="31"/>
      <c r="P37" s="31"/>
      <c r="Q37" s="31"/>
      <c r="R37" s="31"/>
      <c r="S37" s="31"/>
      <c r="T37" s="31"/>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row>
    <row r="43" spans="1:60">
      <c r="E43" s="42"/>
    </row>
  </sheetData>
  <mergeCells count="2">
    <mergeCell ref="C2:V2"/>
    <mergeCell ref="E4:V4"/>
  </mergeCells>
  <dataValidations count="1">
    <dataValidation type="list" allowBlank="1" showInputMessage="1" showErrorMessage="1" sqref="J11:J17 F7:F17 K12:K17 L13:L17 I10:I17 M14:M16 N15:N16 O16 H9:H17 M17:P17 F18:Q18 F19:R19 F20:S20 G8:G17" xr:uid="{747C5AAC-7BA4-45BC-9799-11DE2474F867}">
      <formula1>Scale</formula1>
    </dataValidation>
  </dataValidation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31D5-D964-4251-BC98-355BDCBD7D39}">
  <dimension ref="A1:AT43"/>
  <sheetViews>
    <sheetView zoomScale="73" zoomScaleNormal="73" workbookViewId="0">
      <selection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78.375" style="31" customWidth="1"/>
    <col min="6" max="13" width="10.625" style="31" customWidth="1"/>
    <col min="14" max="15" width="10.625" style="42" customWidth="1"/>
    <col min="16" max="17" width="3.375" style="42" customWidth="1"/>
    <col min="18" max="29" width="10.875" style="42" hidden="1" customWidth="1"/>
    <col min="30" max="16384" width="10.875" style="42"/>
  </cols>
  <sheetData>
    <row r="1" spans="1:46" s="43" customFormat="1" ht="16.5" thickBot="1">
      <c r="A1" s="42"/>
      <c r="B1" s="42"/>
      <c r="C1" s="42"/>
      <c r="D1" s="42"/>
      <c r="E1" s="31"/>
      <c r="F1" s="31"/>
      <c r="G1" s="31"/>
      <c r="H1" s="31"/>
      <c r="I1" s="31"/>
      <c r="J1" s="31"/>
      <c r="K1" s="31"/>
      <c r="L1" s="31"/>
      <c r="M1" s="31"/>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row>
    <row r="2" spans="1:46" s="43" customFormat="1" ht="26.25">
      <c r="A2" s="42"/>
      <c r="B2" s="44"/>
      <c r="C2" s="96" t="s">
        <v>42</v>
      </c>
      <c r="D2" s="96"/>
      <c r="E2" s="96"/>
      <c r="F2" s="96"/>
      <c r="G2" s="96"/>
      <c r="H2" s="96"/>
      <c r="I2" s="96"/>
      <c r="J2" s="96"/>
      <c r="K2" s="96"/>
      <c r="L2" s="96"/>
      <c r="M2" s="96"/>
      <c r="N2" s="96"/>
      <c r="O2" s="96"/>
      <c r="P2" s="45"/>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row>
    <row r="3" spans="1:46" s="43" customFormat="1" ht="21.75" thickBot="1">
      <c r="A3" s="42"/>
      <c r="B3" s="46"/>
      <c r="C3" s="42"/>
      <c r="D3" s="42"/>
      <c r="E3" s="4"/>
      <c r="F3" s="4"/>
      <c r="G3" s="4"/>
      <c r="H3" s="4"/>
      <c r="I3" s="4"/>
      <c r="J3" s="4"/>
      <c r="K3" s="4"/>
      <c r="L3" s="4"/>
      <c r="M3" s="4"/>
      <c r="N3" s="4"/>
      <c r="O3" s="4"/>
      <c r="P3" s="47"/>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row>
    <row r="4" spans="1:46" s="43" customFormat="1" ht="21.75" thickBot="1">
      <c r="A4" s="42"/>
      <c r="B4" s="46"/>
      <c r="C4" s="3" t="s">
        <v>11</v>
      </c>
      <c r="D4" s="4"/>
      <c r="E4" s="100" t="s">
        <v>12</v>
      </c>
      <c r="F4" s="101"/>
      <c r="G4" s="101"/>
      <c r="H4" s="101"/>
      <c r="I4" s="101"/>
      <c r="J4" s="101"/>
      <c r="K4" s="101"/>
      <c r="L4" s="101"/>
      <c r="M4" s="101"/>
      <c r="N4" s="101"/>
      <c r="O4" s="102"/>
      <c r="P4" s="47"/>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row>
    <row r="5" spans="1:46" s="43" customFormat="1">
      <c r="A5" s="42"/>
      <c r="B5" s="46"/>
      <c r="C5" s="74"/>
      <c r="D5" s="42"/>
      <c r="E5" s="75" t="s">
        <v>13</v>
      </c>
      <c r="F5" s="32" t="s">
        <v>253</v>
      </c>
      <c r="G5" s="32" t="s">
        <v>43</v>
      </c>
      <c r="H5" s="32" t="s">
        <v>402</v>
      </c>
      <c r="I5" s="32" t="s">
        <v>44</v>
      </c>
      <c r="J5" s="32" t="s">
        <v>254</v>
      </c>
      <c r="K5" s="32" t="s">
        <v>255</v>
      </c>
      <c r="L5" s="32" t="s">
        <v>45</v>
      </c>
      <c r="M5" s="32" t="s">
        <v>46</v>
      </c>
      <c r="N5" s="32" t="s">
        <v>14</v>
      </c>
      <c r="O5" s="76" t="s">
        <v>15</v>
      </c>
      <c r="P5" s="47"/>
      <c r="Q5" s="42"/>
      <c r="R5" s="42" t="s">
        <v>16</v>
      </c>
      <c r="S5" s="42" t="s">
        <v>17</v>
      </c>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row>
    <row r="6" spans="1:46" s="43" customFormat="1" ht="88.5" customHeight="1">
      <c r="A6" s="42"/>
      <c r="B6" s="46"/>
      <c r="C6" s="48"/>
      <c r="D6" s="42"/>
      <c r="E6" s="37" t="s">
        <v>440</v>
      </c>
      <c r="F6" s="9"/>
      <c r="G6" s="9"/>
      <c r="H6" s="9"/>
      <c r="I6" s="9"/>
      <c r="J6" s="9"/>
      <c r="K6" s="9"/>
      <c r="L6" s="9"/>
      <c r="M6" s="9"/>
      <c r="N6" s="8" t="e">
        <f t="shared" ref="N6:N13" si="0">AC6</f>
        <v>#N/A</v>
      </c>
      <c r="O6" s="52" t="e">
        <f>RANK(N6,$N6:$N13,0)</f>
        <v>#N/A</v>
      </c>
      <c r="P6" s="47"/>
      <c r="Q6" s="42"/>
      <c r="R6" s="42" t="s">
        <v>18</v>
      </c>
      <c r="S6" s="42">
        <v>10</v>
      </c>
      <c r="T6" s="42"/>
      <c r="U6" s="53"/>
      <c r="V6" s="54" t="e">
        <f>1/U7</f>
        <v>#N/A</v>
      </c>
      <c r="W6" s="54" t="e">
        <f>1/U8</f>
        <v>#N/A</v>
      </c>
      <c r="X6" s="54" t="e">
        <f>1/U9</f>
        <v>#N/A</v>
      </c>
      <c r="Y6" s="54" t="e">
        <f>1/U10</f>
        <v>#N/A</v>
      </c>
      <c r="Z6" s="54" t="e">
        <f>1/U11</f>
        <v>#N/A</v>
      </c>
      <c r="AA6" s="54" t="e">
        <f>1/U12</f>
        <v>#N/A</v>
      </c>
      <c r="AB6" s="54" t="e">
        <f>1/U13</f>
        <v>#N/A</v>
      </c>
      <c r="AC6" s="55" t="e">
        <f>SUM(U6:AB6)</f>
        <v>#N/A</v>
      </c>
      <c r="AD6" s="42"/>
      <c r="AE6" s="42"/>
      <c r="AF6" s="42"/>
      <c r="AG6" s="42"/>
      <c r="AH6" s="42"/>
      <c r="AI6" s="42"/>
      <c r="AJ6" s="42"/>
      <c r="AK6" s="42"/>
      <c r="AL6" s="42"/>
      <c r="AM6" s="42"/>
      <c r="AN6" s="42"/>
      <c r="AO6" s="42"/>
      <c r="AP6" s="42"/>
      <c r="AQ6" s="42"/>
      <c r="AR6" s="42"/>
      <c r="AS6" s="42"/>
      <c r="AT6" s="42"/>
    </row>
    <row r="7" spans="1:46" s="43" customFormat="1" ht="39.950000000000003" customHeight="1">
      <c r="A7" s="42"/>
      <c r="B7" s="46"/>
      <c r="C7" s="48"/>
      <c r="D7" s="42"/>
      <c r="E7" s="37" t="s">
        <v>47</v>
      </c>
      <c r="F7" s="8"/>
      <c r="G7" s="9"/>
      <c r="H7" s="9"/>
      <c r="I7" s="9"/>
      <c r="J7" s="9"/>
      <c r="K7" s="9"/>
      <c r="L7" s="9"/>
      <c r="M7" s="9"/>
      <c r="N7" s="8" t="e">
        <f t="shared" si="0"/>
        <v>#N/A</v>
      </c>
      <c r="O7" s="52" t="e">
        <f>RANK(N7,$N6:$N13,0)</f>
        <v>#N/A</v>
      </c>
      <c r="P7" s="47"/>
      <c r="Q7" s="42"/>
      <c r="R7" s="42" t="s">
        <v>19</v>
      </c>
      <c r="S7" s="42">
        <v>5</v>
      </c>
      <c r="T7" s="42"/>
      <c r="U7" s="56" t="e">
        <f>VLOOKUP(F7, Table284[#All], 2, 0)</f>
        <v>#N/A</v>
      </c>
      <c r="V7" s="53"/>
      <c r="W7" s="54" t="e">
        <f>1/V8</f>
        <v>#N/A</v>
      </c>
      <c r="X7" s="54" t="e">
        <f>1/V9</f>
        <v>#N/A</v>
      </c>
      <c r="Y7" s="54" t="e">
        <f>1/V10</f>
        <v>#N/A</v>
      </c>
      <c r="Z7" s="54" t="e">
        <f>1/V11</f>
        <v>#N/A</v>
      </c>
      <c r="AA7" s="54" t="e">
        <f>1/V12</f>
        <v>#N/A</v>
      </c>
      <c r="AB7" s="54" t="e">
        <f>1/V13</f>
        <v>#N/A</v>
      </c>
      <c r="AC7" s="55" t="e">
        <f t="shared" ref="AC7:AC13" si="1">SUM(U7:AB7)</f>
        <v>#N/A</v>
      </c>
      <c r="AD7" s="42"/>
      <c r="AE7" s="42"/>
      <c r="AF7" s="42"/>
      <c r="AG7" s="42"/>
      <c r="AH7" s="42"/>
      <c r="AI7" s="42"/>
      <c r="AJ7" s="42"/>
      <c r="AK7" s="42"/>
      <c r="AL7" s="42"/>
      <c r="AM7" s="42"/>
      <c r="AN7" s="42"/>
      <c r="AO7" s="42"/>
      <c r="AP7" s="42"/>
      <c r="AQ7" s="42"/>
      <c r="AR7" s="42"/>
      <c r="AS7" s="42"/>
      <c r="AT7" s="42"/>
    </row>
    <row r="8" spans="1:46" s="43" customFormat="1" ht="39.950000000000003" customHeight="1">
      <c r="A8" s="42"/>
      <c r="B8" s="46"/>
      <c r="C8" s="48"/>
      <c r="D8" s="42"/>
      <c r="E8" s="37" t="s">
        <v>248</v>
      </c>
      <c r="F8" s="8"/>
      <c r="G8" s="8"/>
      <c r="H8" s="9"/>
      <c r="I8" s="9"/>
      <c r="J8" s="9"/>
      <c r="K8" s="9"/>
      <c r="L8" s="9"/>
      <c r="M8" s="9"/>
      <c r="N8" s="8" t="e">
        <f t="shared" si="0"/>
        <v>#N/A</v>
      </c>
      <c r="O8" s="52" t="e">
        <f>RANK(N8,$N6:$N13,0)</f>
        <v>#N/A</v>
      </c>
      <c r="P8" s="47"/>
      <c r="Q8" s="42"/>
      <c r="R8" s="42" t="s">
        <v>20</v>
      </c>
      <c r="S8" s="42">
        <v>1</v>
      </c>
      <c r="T8" s="42"/>
      <c r="U8" s="56" t="e">
        <f>VLOOKUP(F8, Table284[#All], 2, 0)</f>
        <v>#N/A</v>
      </c>
      <c r="V8" s="56" t="e">
        <f>VLOOKUP(G8, Table284[#All], 2, 0)</f>
        <v>#N/A</v>
      </c>
      <c r="W8" s="53"/>
      <c r="X8" s="54" t="e">
        <f>1/W9</f>
        <v>#N/A</v>
      </c>
      <c r="Y8" s="54" t="e">
        <f>1/W10</f>
        <v>#N/A</v>
      </c>
      <c r="Z8" s="54" t="e">
        <f>1/W11</f>
        <v>#N/A</v>
      </c>
      <c r="AA8" s="54" t="e">
        <f>1/W12</f>
        <v>#N/A</v>
      </c>
      <c r="AB8" s="54" t="e">
        <f>1/W13</f>
        <v>#N/A</v>
      </c>
      <c r="AC8" s="55" t="e">
        <f t="shared" si="1"/>
        <v>#N/A</v>
      </c>
      <c r="AD8" s="42"/>
      <c r="AE8" s="42"/>
      <c r="AF8" s="42"/>
      <c r="AG8" s="42"/>
      <c r="AH8" s="42"/>
      <c r="AI8" s="42"/>
      <c r="AJ8" s="42"/>
      <c r="AK8" s="42"/>
      <c r="AL8" s="42"/>
      <c r="AM8" s="42"/>
      <c r="AN8" s="42"/>
      <c r="AO8" s="42"/>
      <c r="AP8" s="42"/>
      <c r="AQ8" s="42"/>
      <c r="AR8" s="42"/>
      <c r="AS8" s="42"/>
      <c r="AT8" s="42"/>
    </row>
    <row r="9" spans="1:46" s="43" customFormat="1" ht="39.950000000000003" customHeight="1">
      <c r="A9" s="42"/>
      <c r="B9" s="46"/>
      <c r="C9" s="48"/>
      <c r="D9" s="42"/>
      <c r="E9" s="38" t="s">
        <v>48</v>
      </c>
      <c r="F9" s="8"/>
      <c r="G9" s="8"/>
      <c r="H9" s="10"/>
      <c r="I9" s="9"/>
      <c r="J9" s="9"/>
      <c r="K9" s="9"/>
      <c r="L9" s="9"/>
      <c r="M9" s="9"/>
      <c r="N9" s="8" t="e">
        <f t="shared" si="0"/>
        <v>#N/A</v>
      </c>
      <c r="O9" s="52" t="e">
        <f>RANK(N9,$N6:$N13,0)</f>
        <v>#N/A</v>
      </c>
      <c r="P9" s="47"/>
      <c r="Q9" s="42"/>
      <c r="R9" s="42" t="s">
        <v>21</v>
      </c>
      <c r="S9" s="42">
        <v>0.2</v>
      </c>
      <c r="T9" s="42"/>
      <c r="U9" s="56" t="e">
        <f>VLOOKUP(F9, Table284[#All], 2, 0)</f>
        <v>#N/A</v>
      </c>
      <c r="V9" s="56" t="e">
        <f>VLOOKUP(G9, Table284[#All], 2, 0)</f>
        <v>#N/A</v>
      </c>
      <c r="W9" s="56" t="e">
        <f>VLOOKUP(H9, Table284[#All], 2, 0)</f>
        <v>#N/A</v>
      </c>
      <c r="X9" s="53"/>
      <c r="Y9" s="54" t="e">
        <f>1/X10</f>
        <v>#N/A</v>
      </c>
      <c r="Z9" s="54" t="e">
        <f>1/X11</f>
        <v>#N/A</v>
      </c>
      <c r="AA9" s="54" t="e">
        <f>1/X12</f>
        <v>#N/A</v>
      </c>
      <c r="AB9" s="54" t="e">
        <f>1/X13</f>
        <v>#N/A</v>
      </c>
      <c r="AC9" s="55" t="e">
        <f t="shared" si="1"/>
        <v>#N/A</v>
      </c>
      <c r="AD9" s="42"/>
      <c r="AE9" s="42"/>
      <c r="AF9" s="42"/>
      <c r="AG9" s="42"/>
      <c r="AH9" s="42"/>
      <c r="AI9" s="42"/>
      <c r="AJ9" s="42"/>
      <c r="AK9" s="42"/>
      <c r="AL9" s="42"/>
      <c r="AM9" s="42"/>
      <c r="AN9" s="42"/>
      <c r="AO9" s="42"/>
      <c r="AP9" s="42"/>
      <c r="AQ9" s="42"/>
      <c r="AR9" s="42"/>
      <c r="AS9" s="42"/>
      <c r="AT9" s="42"/>
    </row>
    <row r="10" spans="1:46" s="43" customFormat="1" ht="39.950000000000003" customHeight="1">
      <c r="A10" s="42"/>
      <c r="B10" s="46"/>
      <c r="C10" s="48"/>
      <c r="D10" s="42"/>
      <c r="E10" s="38" t="s">
        <v>249</v>
      </c>
      <c r="F10" s="10"/>
      <c r="G10" s="8"/>
      <c r="H10" s="8"/>
      <c r="I10" s="10"/>
      <c r="J10" s="11"/>
      <c r="K10" s="11"/>
      <c r="L10" s="11"/>
      <c r="M10" s="11"/>
      <c r="N10" s="8" t="e">
        <f t="shared" si="0"/>
        <v>#N/A</v>
      </c>
      <c r="O10" s="52" t="e">
        <f>RANK(N10,$N6:$N13,0)</f>
        <v>#N/A</v>
      </c>
      <c r="P10" s="47"/>
      <c r="Q10" s="42"/>
      <c r="R10" s="42" t="s">
        <v>22</v>
      </c>
      <c r="S10" s="42">
        <v>0.1</v>
      </c>
      <c r="T10" s="42"/>
      <c r="U10" s="56" t="e">
        <f>VLOOKUP(F10, Table284[#All], 2, 0)</f>
        <v>#N/A</v>
      </c>
      <c r="V10" s="56" t="e">
        <f>VLOOKUP(G10, Table284[#All], 2, 0)</f>
        <v>#N/A</v>
      </c>
      <c r="W10" s="56" t="e">
        <f>VLOOKUP(H10, Table284[#All], 2, 0)</f>
        <v>#N/A</v>
      </c>
      <c r="X10" s="56" t="e">
        <f>VLOOKUP(I10, Table284[#All], 2, 0)</f>
        <v>#N/A</v>
      </c>
      <c r="Y10" s="53"/>
      <c r="Z10" s="54" t="e">
        <f>1/Y11</f>
        <v>#N/A</v>
      </c>
      <c r="AA10" s="54" t="e">
        <f>1/Y12</f>
        <v>#N/A</v>
      </c>
      <c r="AB10" s="54" t="e">
        <f>1/Y13</f>
        <v>#N/A</v>
      </c>
      <c r="AC10" s="55" t="e">
        <f t="shared" si="1"/>
        <v>#N/A</v>
      </c>
      <c r="AD10" s="42"/>
      <c r="AE10" s="42"/>
      <c r="AF10" s="42"/>
      <c r="AG10" s="42"/>
      <c r="AH10" s="42"/>
      <c r="AI10" s="42"/>
      <c r="AJ10" s="42"/>
      <c r="AK10" s="42"/>
      <c r="AL10" s="42"/>
      <c r="AM10" s="42"/>
      <c r="AN10" s="42"/>
      <c r="AO10" s="42"/>
      <c r="AP10" s="42"/>
      <c r="AQ10" s="42"/>
      <c r="AR10" s="42"/>
      <c r="AS10" s="42"/>
      <c r="AT10" s="42"/>
    </row>
    <row r="11" spans="1:46" s="43" customFormat="1" ht="39.950000000000003" customHeight="1">
      <c r="A11" s="42"/>
      <c r="B11" s="46"/>
      <c r="C11" s="48"/>
      <c r="D11" s="42"/>
      <c r="E11" s="38" t="s">
        <v>250</v>
      </c>
      <c r="F11" s="8"/>
      <c r="G11" s="8"/>
      <c r="H11" s="10"/>
      <c r="I11" s="8"/>
      <c r="J11" s="8"/>
      <c r="K11" s="11"/>
      <c r="L11" s="11"/>
      <c r="M11" s="11"/>
      <c r="N11" s="8" t="e">
        <f t="shared" si="0"/>
        <v>#N/A</v>
      </c>
      <c r="O11" s="52" t="e">
        <f>RANK(N11,$N6:$N13,0)</f>
        <v>#N/A</v>
      </c>
      <c r="P11" s="47"/>
      <c r="Q11" s="42"/>
      <c r="R11" s="42"/>
      <c r="S11" s="42"/>
      <c r="T11" s="42"/>
      <c r="U11" s="56" t="e">
        <f>VLOOKUP(F11, Table284[#All], 2, 0)</f>
        <v>#N/A</v>
      </c>
      <c r="V11" s="56" t="e">
        <f>VLOOKUP(G11, Table284[#All], 2, 0)</f>
        <v>#N/A</v>
      </c>
      <c r="W11" s="56" t="e">
        <f>VLOOKUP(H11, Table284[#All], 2, 0)</f>
        <v>#N/A</v>
      </c>
      <c r="X11" s="56" t="e">
        <f>VLOOKUP(I11, Table284[#All], 2, 0)</f>
        <v>#N/A</v>
      </c>
      <c r="Y11" s="56" t="e">
        <f>VLOOKUP(J11, Table284[#All], 2, 0)</f>
        <v>#N/A</v>
      </c>
      <c r="Z11" s="53"/>
      <c r="AA11" s="54" t="e">
        <f>1/Z12</f>
        <v>#N/A</v>
      </c>
      <c r="AB11" s="54" t="e">
        <f>1/Z13</f>
        <v>#N/A</v>
      </c>
      <c r="AC11" s="55" t="e">
        <f t="shared" si="1"/>
        <v>#N/A</v>
      </c>
      <c r="AD11" s="42"/>
      <c r="AE11" s="42"/>
      <c r="AF11" s="42"/>
      <c r="AG11" s="42"/>
      <c r="AH11" s="42"/>
      <c r="AI11" s="42"/>
      <c r="AJ11" s="42"/>
      <c r="AK11" s="42"/>
      <c r="AL11" s="42"/>
      <c r="AM11" s="42"/>
      <c r="AN11" s="42"/>
      <c r="AO11" s="42"/>
      <c r="AP11" s="42"/>
      <c r="AQ11" s="42"/>
      <c r="AR11" s="42"/>
      <c r="AS11" s="42"/>
      <c r="AT11" s="42"/>
    </row>
    <row r="12" spans="1:46" s="43" customFormat="1" ht="54" customHeight="1">
      <c r="A12" s="42"/>
      <c r="B12" s="46"/>
      <c r="C12" s="48"/>
      <c r="D12" s="42"/>
      <c r="E12" s="38" t="s">
        <v>252</v>
      </c>
      <c r="F12" s="8"/>
      <c r="G12" s="8"/>
      <c r="H12" s="10"/>
      <c r="I12" s="8"/>
      <c r="J12" s="8"/>
      <c r="K12" s="8"/>
      <c r="L12" s="11"/>
      <c r="M12" s="11"/>
      <c r="N12" s="8" t="e">
        <f t="shared" si="0"/>
        <v>#N/A</v>
      </c>
      <c r="O12" s="52" t="e">
        <f>RANK(N12,$N6:$N13,0)</f>
        <v>#N/A</v>
      </c>
      <c r="P12" s="47"/>
      <c r="Q12" s="42"/>
      <c r="R12" s="42"/>
      <c r="S12" s="42"/>
      <c r="T12" s="42"/>
      <c r="U12" s="56" t="e">
        <f>VLOOKUP(F12, Table284[#All], 2, 0)</f>
        <v>#N/A</v>
      </c>
      <c r="V12" s="56" t="e">
        <f>VLOOKUP(G12, Table284[#All], 2, 0)</f>
        <v>#N/A</v>
      </c>
      <c r="W12" s="56" t="e">
        <f>VLOOKUP(H12, Table284[#All], 2, 0)</f>
        <v>#N/A</v>
      </c>
      <c r="X12" s="56" t="e">
        <f>VLOOKUP(I12, Table284[#All], 2, 0)</f>
        <v>#N/A</v>
      </c>
      <c r="Y12" s="56" t="e">
        <f>VLOOKUP(J12, Table284[#All], 2, 0)</f>
        <v>#N/A</v>
      </c>
      <c r="Z12" s="56" t="e">
        <f>VLOOKUP(K12, Table284[#All], 2, 0)</f>
        <v>#N/A</v>
      </c>
      <c r="AA12" s="53"/>
      <c r="AB12" s="54" t="e">
        <f>1/AA13</f>
        <v>#N/A</v>
      </c>
      <c r="AC12" s="55" t="e">
        <f t="shared" si="1"/>
        <v>#N/A</v>
      </c>
      <c r="AD12" s="42"/>
      <c r="AE12" s="42"/>
      <c r="AF12" s="42"/>
      <c r="AG12" s="42"/>
      <c r="AH12" s="42"/>
      <c r="AI12" s="42"/>
      <c r="AJ12" s="42"/>
      <c r="AK12" s="42"/>
      <c r="AL12" s="42"/>
      <c r="AM12" s="42"/>
      <c r="AN12" s="42"/>
      <c r="AO12" s="42"/>
      <c r="AP12" s="42"/>
      <c r="AQ12" s="42"/>
      <c r="AR12" s="42"/>
      <c r="AS12" s="42"/>
      <c r="AT12" s="42"/>
    </row>
    <row r="13" spans="1:46" s="43" customFormat="1" ht="39.950000000000003" customHeight="1" thickBot="1">
      <c r="A13" s="42"/>
      <c r="B13" s="46"/>
      <c r="C13" s="48"/>
      <c r="D13" s="42"/>
      <c r="E13" s="39" t="s">
        <v>251</v>
      </c>
      <c r="F13" s="5"/>
      <c r="G13" s="13"/>
      <c r="H13" s="13"/>
      <c r="I13" s="13"/>
      <c r="J13" s="13"/>
      <c r="K13" s="13"/>
      <c r="L13" s="13"/>
      <c r="M13" s="20"/>
      <c r="N13" s="13" t="e">
        <f t="shared" si="0"/>
        <v>#N/A</v>
      </c>
      <c r="O13" s="57" t="e">
        <f>RANK(N13,$N6:$N13,0)</f>
        <v>#N/A</v>
      </c>
      <c r="P13" s="47"/>
      <c r="Q13" s="42"/>
      <c r="R13" s="42"/>
      <c r="S13" s="42"/>
      <c r="T13" s="42"/>
      <c r="U13" s="56" t="e">
        <f>VLOOKUP(F13, Table284[#All], 2, 0)</f>
        <v>#N/A</v>
      </c>
      <c r="V13" s="56" t="e">
        <f>VLOOKUP(G13, Table284[#All], 2, 0)</f>
        <v>#N/A</v>
      </c>
      <c r="W13" s="56" t="e">
        <f>VLOOKUP(H13, Table284[#All], 2, 0)</f>
        <v>#N/A</v>
      </c>
      <c r="X13" s="56" t="e">
        <f>VLOOKUP(I13, Table284[#All], 2, 0)</f>
        <v>#N/A</v>
      </c>
      <c r="Y13" s="56" t="e">
        <f>VLOOKUP(J13, Table284[#All], 2, 0)</f>
        <v>#N/A</v>
      </c>
      <c r="Z13" s="56" t="e">
        <f>VLOOKUP(K13, Table284[#All], 2, 0)</f>
        <v>#N/A</v>
      </c>
      <c r="AA13" s="56" t="e">
        <f>VLOOKUP(L13, Table284[#All], 2, 0)</f>
        <v>#N/A</v>
      </c>
      <c r="AB13" s="53"/>
      <c r="AC13" s="55" t="e">
        <f t="shared" si="1"/>
        <v>#N/A</v>
      </c>
      <c r="AD13" s="42"/>
      <c r="AE13" s="42"/>
      <c r="AF13" s="42"/>
      <c r="AG13" s="42"/>
      <c r="AH13" s="42"/>
      <c r="AI13" s="42"/>
      <c r="AJ13" s="42"/>
      <c r="AK13" s="42"/>
      <c r="AL13" s="42"/>
      <c r="AM13" s="42"/>
      <c r="AN13" s="42"/>
      <c r="AO13" s="42"/>
      <c r="AP13" s="42"/>
      <c r="AQ13" s="42"/>
      <c r="AR13" s="42"/>
      <c r="AS13" s="42"/>
      <c r="AT13" s="42"/>
    </row>
    <row r="14" spans="1:46" s="43" customFormat="1">
      <c r="A14" s="42"/>
      <c r="B14" s="46"/>
      <c r="C14" s="48"/>
      <c r="D14" s="42"/>
      <c r="E14" s="59"/>
      <c r="F14" s="31"/>
      <c r="G14" s="31"/>
      <c r="H14" s="31"/>
      <c r="I14" s="31"/>
      <c r="J14" s="31"/>
      <c r="K14" s="31"/>
      <c r="L14" s="31"/>
      <c r="M14" s="31"/>
      <c r="N14" s="42"/>
      <c r="O14" s="42"/>
      <c r="P14" s="47"/>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row>
    <row r="15" spans="1:46" s="43" customFormat="1">
      <c r="A15" s="42"/>
      <c r="B15" s="46"/>
      <c r="C15" s="48"/>
      <c r="D15" s="42"/>
      <c r="E15" s="42"/>
      <c r="F15" s="31"/>
      <c r="G15" s="31"/>
      <c r="H15" s="31"/>
      <c r="I15" s="31"/>
      <c r="J15" s="31"/>
      <c r="K15" s="31"/>
      <c r="L15" s="31"/>
      <c r="M15" s="31"/>
      <c r="N15" s="42"/>
      <c r="O15" s="42"/>
      <c r="P15" s="47"/>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row>
    <row r="16" spans="1:46" s="43" customFormat="1">
      <c r="A16" s="42"/>
      <c r="B16" s="46"/>
      <c r="C16" s="48"/>
      <c r="D16" s="42"/>
      <c r="E16" s="31"/>
      <c r="F16" s="31"/>
      <c r="G16" s="31"/>
      <c r="H16" s="31"/>
      <c r="I16" s="31"/>
      <c r="J16" s="31"/>
      <c r="K16" s="31"/>
      <c r="L16" s="31"/>
      <c r="M16" s="31"/>
      <c r="N16" s="42"/>
      <c r="O16" s="42"/>
      <c r="P16" s="47"/>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row>
    <row r="17" spans="1:46" s="43" customFormat="1">
      <c r="A17" s="42"/>
      <c r="B17" s="46"/>
      <c r="C17" s="48"/>
      <c r="D17" s="42"/>
      <c r="E17" s="31"/>
      <c r="F17" s="31"/>
      <c r="G17" s="31"/>
      <c r="H17" s="31"/>
      <c r="I17" s="31"/>
      <c r="J17" s="31"/>
      <c r="K17" s="31"/>
      <c r="L17" s="31"/>
      <c r="M17" s="31"/>
      <c r="N17" s="42"/>
      <c r="O17" s="42"/>
      <c r="P17" s="47"/>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row>
    <row r="18" spans="1:46" s="43" customFormat="1">
      <c r="A18" s="42"/>
      <c r="B18" s="46"/>
      <c r="C18" s="48"/>
      <c r="D18" s="42"/>
      <c r="E18" s="31"/>
      <c r="F18" s="31"/>
      <c r="G18" s="31"/>
      <c r="H18" s="31"/>
      <c r="I18" s="31"/>
      <c r="J18" s="31"/>
      <c r="K18" s="31"/>
      <c r="L18" s="31"/>
      <c r="M18" s="31"/>
      <c r="N18" s="42"/>
      <c r="O18" s="42"/>
      <c r="P18" s="47"/>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row>
    <row r="19" spans="1:46" s="43" customFormat="1">
      <c r="A19" s="42"/>
      <c r="B19" s="46"/>
      <c r="C19" s="48"/>
      <c r="D19" s="42"/>
      <c r="E19" s="31"/>
      <c r="F19" s="31"/>
      <c r="G19" s="31"/>
      <c r="H19" s="31"/>
      <c r="I19" s="31"/>
      <c r="J19" s="31"/>
      <c r="K19" s="31"/>
      <c r="L19" s="31"/>
      <c r="M19" s="31"/>
      <c r="N19" s="42"/>
      <c r="O19" s="42"/>
      <c r="P19" s="47"/>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row>
    <row r="20" spans="1:46" s="43" customFormat="1">
      <c r="A20" s="42"/>
      <c r="B20" s="46"/>
      <c r="C20" s="48"/>
      <c r="D20" s="42"/>
      <c r="E20" s="31"/>
      <c r="F20" s="31"/>
      <c r="G20" s="31"/>
      <c r="H20" s="31"/>
      <c r="I20" s="31"/>
      <c r="J20" s="31"/>
      <c r="K20" s="31"/>
      <c r="L20" s="31"/>
      <c r="M20" s="31"/>
      <c r="N20" s="42"/>
      <c r="O20" s="42"/>
      <c r="P20" s="47"/>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row>
    <row r="21" spans="1:46" s="43" customFormat="1">
      <c r="A21" s="42"/>
      <c r="B21" s="46"/>
      <c r="C21" s="48"/>
      <c r="D21" s="42"/>
      <c r="E21" s="31"/>
      <c r="F21" s="31"/>
      <c r="G21" s="31"/>
      <c r="H21" s="31"/>
      <c r="I21" s="31"/>
      <c r="J21" s="31"/>
      <c r="K21" s="31"/>
      <c r="L21" s="31"/>
      <c r="M21" s="31"/>
      <c r="N21" s="42"/>
      <c r="O21" s="42"/>
      <c r="P21" s="47"/>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row>
    <row r="22" spans="1:46" s="43" customFormat="1">
      <c r="A22" s="42"/>
      <c r="B22" s="46"/>
      <c r="C22" s="48"/>
      <c r="D22" s="42"/>
      <c r="E22" s="31"/>
      <c r="F22" s="31"/>
      <c r="G22" s="31"/>
      <c r="H22" s="31"/>
      <c r="I22" s="31"/>
      <c r="J22" s="31"/>
      <c r="K22" s="31"/>
      <c r="L22" s="31"/>
      <c r="M22" s="31"/>
      <c r="N22" s="42"/>
      <c r="O22" s="42"/>
      <c r="P22" s="47"/>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row>
    <row r="23" spans="1:46" s="43" customFormat="1">
      <c r="A23" s="42"/>
      <c r="B23" s="46"/>
      <c r="C23" s="48"/>
      <c r="D23" s="42"/>
      <c r="E23" s="31"/>
      <c r="F23" s="31"/>
      <c r="G23" s="31"/>
      <c r="H23" s="31"/>
      <c r="I23" s="31"/>
      <c r="J23" s="31"/>
      <c r="K23" s="31"/>
      <c r="L23" s="31"/>
      <c r="M23" s="31"/>
      <c r="N23" s="42"/>
      <c r="O23" s="42"/>
      <c r="P23" s="47"/>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row>
    <row r="24" spans="1:46" s="43" customFormat="1">
      <c r="A24" s="42"/>
      <c r="B24" s="46"/>
      <c r="C24" s="48"/>
      <c r="D24" s="42"/>
      <c r="E24" s="31"/>
      <c r="F24" s="31"/>
      <c r="G24" s="31"/>
      <c r="H24" s="31"/>
      <c r="I24" s="31"/>
      <c r="J24" s="31"/>
      <c r="K24" s="31"/>
      <c r="L24" s="31"/>
      <c r="M24" s="31"/>
      <c r="N24" s="42"/>
      <c r="O24" s="42"/>
      <c r="P24" s="47"/>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row>
    <row r="25" spans="1:46" s="43" customFormat="1">
      <c r="A25" s="42"/>
      <c r="B25" s="46"/>
      <c r="C25" s="48"/>
      <c r="D25" s="42"/>
      <c r="E25" s="31"/>
      <c r="F25" s="31"/>
      <c r="G25" s="31"/>
      <c r="H25" s="31"/>
      <c r="I25" s="31"/>
      <c r="J25" s="31"/>
      <c r="K25" s="31"/>
      <c r="L25" s="31"/>
      <c r="M25" s="31"/>
      <c r="N25" s="42"/>
      <c r="O25" s="42"/>
      <c r="P25" s="47"/>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row>
    <row r="26" spans="1:46" s="43" customFormat="1">
      <c r="A26" s="42"/>
      <c r="B26" s="46"/>
      <c r="C26" s="48"/>
      <c r="D26" s="42"/>
      <c r="E26" s="31"/>
      <c r="F26" s="31"/>
      <c r="G26" s="31"/>
      <c r="H26" s="31"/>
      <c r="I26" s="31"/>
      <c r="J26" s="31"/>
      <c r="K26" s="31"/>
      <c r="L26" s="31"/>
      <c r="M26" s="31"/>
      <c r="N26" s="42"/>
      <c r="O26" s="42"/>
      <c r="P26" s="47"/>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row>
    <row r="27" spans="1:46" s="43" customFormat="1">
      <c r="A27" s="42"/>
      <c r="B27" s="46"/>
      <c r="C27" s="48"/>
      <c r="D27" s="42"/>
      <c r="E27" s="31"/>
      <c r="F27" s="31"/>
      <c r="G27" s="31"/>
      <c r="H27" s="31"/>
      <c r="I27" s="31"/>
      <c r="J27" s="31"/>
      <c r="K27" s="31"/>
      <c r="L27" s="31"/>
      <c r="M27" s="31"/>
      <c r="N27" s="42"/>
      <c r="O27" s="42"/>
      <c r="P27" s="47"/>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row>
    <row r="28" spans="1:46" s="43" customFormat="1">
      <c r="A28" s="42"/>
      <c r="B28" s="46"/>
      <c r="C28" s="48"/>
      <c r="D28" s="42"/>
      <c r="E28" s="31"/>
      <c r="F28" s="31"/>
      <c r="G28" s="31"/>
      <c r="H28" s="31"/>
      <c r="I28" s="31"/>
      <c r="J28" s="31"/>
      <c r="K28" s="31"/>
      <c r="L28" s="31"/>
      <c r="M28" s="31"/>
      <c r="N28" s="42"/>
      <c r="O28" s="42"/>
      <c r="P28" s="47"/>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row>
    <row r="29" spans="1:46" s="43" customFormat="1">
      <c r="A29" s="42"/>
      <c r="B29" s="46"/>
      <c r="C29" s="48"/>
      <c r="D29" s="42"/>
      <c r="E29" s="31"/>
      <c r="F29" s="31"/>
      <c r="G29" s="31"/>
      <c r="H29" s="31"/>
      <c r="I29" s="31"/>
      <c r="J29" s="31"/>
      <c r="K29" s="31"/>
      <c r="L29" s="31"/>
      <c r="M29" s="31"/>
      <c r="N29" s="42"/>
      <c r="O29" s="42"/>
      <c r="P29" s="47"/>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row>
    <row r="30" spans="1:46" s="43" customFormat="1">
      <c r="A30" s="42"/>
      <c r="B30" s="46"/>
      <c r="C30" s="48"/>
      <c r="D30" s="42"/>
      <c r="E30" s="31"/>
      <c r="F30" s="31"/>
      <c r="G30" s="31"/>
      <c r="H30" s="31"/>
      <c r="I30" s="31"/>
      <c r="J30" s="31"/>
      <c r="K30" s="31"/>
      <c r="L30" s="31"/>
      <c r="M30" s="31"/>
      <c r="N30" s="42"/>
      <c r="O30" s="42"/>
      <c r="P30" s="47"/>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row>
    <row r="31" spans="1:46" s="60" customFormat="1">
      <c r="A31" s="42"/>
      <c r="B31" s="46"/>
      <c r="C31" s="48"/>
      <c r="D31" s="42"/>
      <c r="E31" s="31"/>
      <c r="F31" s="31"/>
      <c r="G31" s="31"/>
      <c r="H31" s="31"/>
      <c r="I31" s="31"/>
      <c r="J31" s="31"/>
      <c r="K31" s="31"/>
      <c r="L31" s="31"/>
      <c r="M31" s="31"/>
      <c r="N31" s="42"/>
      <c r="O31" s="42"/>
      <c r="P31" s="47"/>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row>
    <row r="32" spans="1:46">
      <c r="B32" s="46"/>
      <c r="C32" s="48"/>
      <c r="P32" s="47"/>
    </row>
    <row r="33" spans="2:16">
      <c r="B33" s="46"/>
      <c r="C33" s="48"/>
      <c r="P33" s="47"/>
    </row>
    <row r="34" spans="2:16">
      <c r="B34" s="46"/>
      <c r="C34" s="48"/>
      <c r="P34" s="47"/>
    </row>
    <row r="35" spans="2:16">
      <c r="B35" s="46"/>
      <c r="C35" s="48"/>
      <c r="P35" s="47"/>
    </row>
    <row r="36" spans="2:16">
      <c r="B36" s="46"/>
      <c r="C36" s="48"/>
      <c r="P36" s="47"/>
    </row>
    <row r="37" spans="2:16">
      <c r="B37" s="46"/>
      <c r="C37" s="48"/>
      <c r="E37" s="42"/>
      <c r="P37" s="47"/>
    </row>
    <row r="38" spans="2:16" ht="16.5" thickBot="1">
      <c r="B38" s="46"/>
      <c r="C38" s="61"/>
      <c r="P38" s="47"/>
    </row>
    <row r="39" spans="2:16">
      <c r="B39" s="46"/>
      <c r="C39" s="69"/>
      <c r="P39" s="47"/>
    </row>
    <row r="40" spans="2:16">
      <c r="B40" s="46"/>
      <c r="C40" s="69"/>
      <c r="P40" s="47"/>
    </row>
    <row r="41" spans="2:16">
      <c r="B41" s="46"/>
      <c r="P41" s="47"/>
    </row>
    <row r="42" spans="2:16">
      <c r="B42" s="46"/>
      <c r="P42" s="47"/>
    </row>
    <row r="43" spans="2:16" ht="16.5" thickBot="1">
      <c r="B43" s="62"/>
      <c r="C43" s="63"/>
      <c r="D43" s="63"/>
      <c r="E43" s="33"/>
      <c r="F43" s="33"/>
      <c r="G43" s="33"/>
      <c r="H43" s="33"/>
      <c r="I43" s="33"/>
      <c r="J43" s="33"/>
      <c r="K43" s="33"/>
      <c r="L43" s="33"/>
      <c r="M43" s="33"/>
      <c r="N43" s="63"/>
      <c r="O43" s="63"/>
      <c r="P43" s="64"/>
    </row>
  </sheetData>
  <mergeCells count="2">
    <mergeCell ref="C2:O2"/>
    <mergeCell ref="E4:O4"/>
  </mergeCells>
  <dataValidations count="1">
    <dataValidation type="list" allowBlank="1" showInputMessage="1" showErrorMessage="1" sqref="J11:J13 F7:F13 K12:K13 I10:I13 G8:G13 H9:H13 L13" xr:uid="{B8EC4791-E14B-4308-9C1E-F552187FC3B0}">
      <formula1>Scale</formula1>
    </dataValidation>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99F15-871F-4CA4-B1A9-2303A6E44AE0}">
  <dimension ref="A1:AV45"/>
  <sheetViews>
    <sheetView topLeftCell="D1" zoomScale="71" zoomScaleNormal="71" workbookViewId="0">
      <selection activeCell="D1"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14" width="10.625" style="31" customWidth="1"/>
    <col min="15" max="16" width="10.625" style="42" customWidth="1"/>
    <col min="17" max="18" width="3.375" style="42" customWidth="1"/>
    <col min="19" max="31" width="10.875" style="42" hidden="1" customWidth="1"/>
    <col min="32" max="16384" width="10.875" style="42"/>
  </cols>
  <sheetData>
    <row r="1" spans="1:48" s="43" customFormat="1" ht="16.5" thickBot="1">
      <c r="A1" s="42"/>
      <c r="B1" s="42"/>
      <c r="C1" s="42"/>
      <c r="D1" s="42"/>
      <c r="E1" s="31"/>
      <c r="F1" s="31"/>
      <c r="G1" s="31"/>
      <c r="H1" s="31"/>
      <c r="I1" s="31"/>
      <c r="J1" s="31"/>
      <c r="K1" s="31"/>
      <c r="L1" s="31"/>
      <c r="M1" s="31"/>
      <c r="N1" s="31"/>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row>
    <row r="2" spans="1:48" s="43" customFormat="1" ht="26.25">
      <c r="A2" s="42"/>
      <c r="B2" s="44"/>
      <c r="C2" s="96" t="s">
        <v>49</v>
      </c>
      <c r="D2" s="96"/>
      <c r="E2" s="96"/>
      <c r="F2" s="96"/>
      <c r="G2" s="96"/>
      <c r="H2" s="96"/>
      <c r="I2" s="96"/>
      <c r="J2" s="96"/>
      <c r="K2" s="96"/>
      <c r="L2" s="96"/>
      <c r="M2" s="96"/>
      <c r="N2" s="96"/>
      <c r="O2" s="96"/>
      <c r="P2" s="96"/>
      <c r="Q2" s="45"/>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row>
    <row r="3" spans="1:48" s="43" customFormat="1" ht="21.75" thickBot="1">
      <c r="A3" s="42"/>
      <c r="B3" s="46"/>
      <c r="C3" s="42"/>
      <c r="D3" s="42"/>
      <c r="E3" s="4"/>
      <c r="F3" s="4"/>
      <c r="G3" s="4"/>
      <c r="H3" s="4"/>
      <c r="I3" s="4"/>
      <c r="J3" s="4"/>
      <c r="K3" s="4"/>
      <c r="L3" s="4"/>
      <c r="M3" s="4"/>
      <c r="N3" s="4"/>
      <c r="O3" s="4"/>
      <c r="P3" s="4"/>
      <c r="Q3" s="47"/>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row>
    <row r="4" spans="1:48" s="43" customFormat="1" ht="21.75" thickBot="1">
      <c r="A4" s="42"/>
      <c r="B4" s="46"/>
      <c r="C4" s="24" t="s">
        <v>11</v>
      </c>
      <c r="D4" s="4"/>
      <c r="E4" s="100" t="s">
        <v>12</v>
      </c>
      <c r="F4" s="101"/>
      <c r="G4" s="101"/>
      <c r="H4" s="101"/>
      <c r="I4" s="101"/>
      <c r="J4" s="101"/>
      <c r="K4" s="101"/>
      <c r="L4" s="101"/>
      <c r="M4" s="101"/>
      <c r="N4" s="101"/>
      <c r="O4" s="101"/>
      <c r="P4" s="102"/>
      <c r="Q4" s="47"/>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row>
    <row r="5" spans="1:48" s="43" customFormat="1">
      <c r="A5" s="42"/>
      <c r="B5" s="46"/>
      <c r="C5" s="80"/>
      <c r="D5" s="42"/>
      <c r="E5" s="49" t="s">
        <v>13</v>
      </c>
      <c r="F5" s="50" t="s">
        <v>257</v>
      </c>
      <c r="G5" s="50" t="s">
        <v>259</v>
      </c>
      <c r="H5" s="50" t="s">
        <v>50</v>
      </c>
      <c r="I5" s="50" t="s">
        <v>51</v>
      </c>
      <c r="J5" s="50" t="s">
        <v>262</v>
      </c>
      <c r="K5" s="50" t="s">
        <v>267</v>
      </c>
      <c r="L5" s="50" t="s">
        <v>52</v>
      </c>
      <c r="M5" s="50" t="s">
        <v>53</v>
      </c>
      <c r="N5" s="50" t="s">
        <v>54</v>
      </c>
      <c r="O5" s="50" t="s">
        <v>14</v>
      </c>
      <c r="P5" s="51" t="s">
        <v>15</v>
      </c>
      <c r="Q5" s="47"/>
      <c r="R5" s="42"/>
      <c r="S5" s="42" t="s">
        <v>16</v>
      </c>
      <c r="T5" s="42" t="s">
        <v>17</v>
      </c>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row>
    <row r="6" spans="1:48" s="43" customFormat="1" ht="88.15" customHeight="1">
      <c r="A6" s="42"/>
      <c r="B6" s="46"/>
      <c r="C6" s="81"/>
      <c r="D6" s="42"/>
      <c r="E6" s="37" t="s">
        <v>256</v>
      </c>
      <c r="F6" s="9"/>
      <c r="G6" s="9"/>
      <c r="H6" s="9"/>
      <c r="I6" s="9"/>
      <c r="J6" s="9"/>
      <c r="K6" s="9"/>
      <c r="L6" s="9"/>
      <c r="M6" s="9"/>
      <c r="N6" s="9"/>
      <c r="O6" s="8" t="e">
        <f t="shared" ref="O6:O14" si="0">AE6</f>
        <v>#N/A</v>
      </c>
      <c r="P6" s="52" t="e">
        <f>RANK(O6,$O6:$O14,0)</f>
        <v>#N/A</v>
      </c>
      <c r="Q6" s="47"/>
      <c r="R6" s="42"/>
      <c r="S6" s="42" t="s">
        <v>18</v>
      </c>
      <c r="T6" s="42">
        <v>10</v>
      </c>
      <c r="U6" s="42"/>
      <c r="V6" s="53"/>
      <c r="W6" s="54" t="e">
        <f>1/V7</f>
        <v>#N/A</v>
      </c>
      <c r="X6" s="54" t="e">
        <f>1/V8</f>
        <v>#N/A</v>
      </c>
      <c r="Y6" s="54" t="e">
        <f>1/V9</f>
        <v>#N/A</v>
      </c>
      <c r="Z6" s="54" t="e">
        <f>1/V10</f>
        <v>#N/A</v>
      </c>
      <c r="AA6" s="54" t="e">
        <f>1/V11</f>
        <v>#N/A</v>
      </c>
      <c r="AB6" s="54" t="e">
        <f>1/V12</f>
        <v>#N/A</v>
      </c>
      <c r="AC6" s="54" t="e">
        <f>1/V13</f>
        <v>#N/A</v>
      </c>
      <c r="AD6" s="54" t="e">
        <f>1/V14</f>
        <v>#N/A</v>
      </c>
      <c r="AE6" s="55" t="e">
        <f t="shared" ref="AE6:AE14" si="1">SUM(V6:AD6)</f>
        <v>#N/A</v>
      </c>
      <c r="AF6" s="42"/>
      <c r="AG6" s="42"/>
      <c r="AH6" s="42"/>
      <c r="AI6" s="42"/>
      <c r="AJ6" s="42"/>
      <c r="AK6" s="42"/>
      <c r="AL6" s="42"/>
      <c r="AM6" s="42"/>
      <c r="AN6" s="42"/>
      <c r="AO6" s="42"/>
      <c r="AP6" s="42"/>
      <c r="AQ6" s="42"/>
      <c r="AR6" s="42"/>
      <c r="AS6" s="42"/>
      <c r="AT6" s="42"/>
      <c r="AU6" s="42"/>
      <c r="AV6" s="42"/>
    </row>
    <row r="7" spans="1:48" s="43" customFormat="1" ht="60" customHeight="1">
      <c r="A7" s="42"/>
      <c r="B7" s="46"/>
      <c r="C7" s="81"/>
      <c r="D7" s="42"/>
      <c r="E7" s="38" t="s">
        <v>258</v>
      </c>
      <c r="F7" s="8"/>
      <c r="G7" s="9"/>
      <c r="H7" s="9"/>
      <c r="I7" s="9"/>
      <c r="J7" s="9"/>
      <c r="K7" s="9"/>
      <c r="L7" s="9"/>
      <c r="M7" s="9"/>
      <c r="N7" s="9"/>
      <c r="O7" s="8" t="e">
        <f t="shared" si="0"/>
        <v>#N/A</v>
      </c>
      <c r="P7" s="52" t="e">
        <f>RANK(O7,$O6:$O14,0)</f>
        <v>#N/A</v>
      </c>
      <c r="Q7" s="47"/>
      <c r="R7" s="42"/>
      <c r="S7" s="42" t="s">
        <v>19</v>
      </c>
      <c r="T7" s="42">
        <v>5</v>
      </c>
      <c r="U7" s="42"/>
      <c r="V7" s="56" t="e">
        <f>VLOOKUP(F7, Table285[#All], 2, 0)</f>
        <v>#N/A</v>
      </c>
      <c r="W7" s="53"/>
      <c r="X7" s="54" t="e">
        <f>1/W8</f>
        <v>#N/A</v>
      </c>
      <c r="Y7" s="54" t="e">
        <f>1/W9</f>
        <v>#N/A</v>
      </c>
      <c r="Z7" s="54" t="e">
        <f>1/W10</f>
        <v>#N/A</v>
      </c>
      <c r="AA7" s="54" t="e">
        <f>1/W11</f>
        <v>#N/A</v>
      </c>
      <c r="AB7" s="54" t="e">
        <f>1/W12</f>
        <v>#N/A</v>
      </c>
      <c r="AC7" s="54" t="e">
        <f>1/W13</f>
        <v>#N/A</v>
      </c>
      <c r="AD7" s="54" t="e">
        <f>1/W14</f>
        <v>#N/A</v>
      </c>
      <c r="AE7" s="55" t="e">
        <f t="shared" si="1"/>
        <v>#N/A</v>
      </c>
      <c r="AF7" s="42"/>
      <c r="AG7" s="42"/>
      <c r="AH7" s="42"/>
      <c r="AI7" s="42"/>
      <c r="AJ7" s="42"/>
      <c r="AK7" s="42"/>
      <c r="AL7" s="42"/>
      <c r="AM7" s="42"/>
      <c r="AN7" s="42"/>
      <c r="AO7" s="42"/>
      <c r="AP7" s="42"/>
      <c r="AQ7" s="42"/>
      <c r="AR7" s="42"/>
      <c r="AS7" s="42"/>
      <c r="AT7" s="42"/>
      <c r="AU7" s="42"/>
      <c r="AV7" s="42"/>
    </row>
    <row r="8" spans="1:48" s="43" customFormat="1" ht="60" customHeight="1">
      <c r="A8" s="42"/>
      <c r="B8" s="46"/>
      <c r="C8" s="81"/>
      <c r="D8" s="42"/>
      <c r="E8" s="38" t="s">
        <v>260</v>
      </c>
      <c r="F8" s="8"/>
      <c r="G8" s="8"/>
      <c r="H8" s="9"/>
      <c r="I8" s="9"/>
      <c r="J8" s="9"/>
      <c r="K8" s="9"/>
      <c r="L8" s="9"/>
      <c r="M8" s="9"/>
      <c r="N8" s="9"/>
      <c r="O8" s="8" t="e">
        <f t="shared" si="0"/>
        <v>#N/A</v>
      </c>
      <c r="P8" s="52" t="e">
        <f>RANK(O8,$O6:$O14,0)</f>
        <v>#N/A</v>
      </c>
      <c r="Q8" s="47"/>
      <c r="R8" s="42"/>
      <c r="S8" s="42" t="s">
        <v>20</v>
      </c>
      <c r="T8" s="42">
        <v>1</v>
      </c>
      <c r="U8" s="42"/>
      <c r="V8" s="56" t="e">
        <f>VLOOKUP(F8, Table285[#All], 2, 0)</f>
        <v>#N/A</v>
      </c>
      <c r="W8" s="56" t="e">
        <f>VLOOKUP(G8, Table285[#All], 2, 0)</f>
        <v>#N/A</v>
      </c>
      <c r="X8" s="53"/>
      <c r="Y8" s="54" t="e">
        <f>1/X9</f>
        <v>#N/A</v>
      </c>
      <c r="Z8" s="54" t="e">
        <f>1/X10</f>
        <v>#N/A</v>
      </c>
      <c r="AA8" s="54" t="e">
        <f>1/X11</f>
        <v>#N/A</v>
      </c>
      <c r="AB8" s="54" t="e">
        <f>1/X12</f>
        <v>#N/A</v>
      </c>
      <c r="AC8" s="54" t="e">
        <f>1/X13</f>
        <v>#N/A</v>
      </c>
      <c r="AD8" s="54" t="e">
        <f>1/X14</f>
        <v>#N/A</v>
      </c>
      <c r="AE8" s="55" t="e">
        <f t="shared" si="1"/>
        <v>#N/A</v>
      </c>
      <c r="AF8" s="42"/>
      <c r="AG8" s="42"/>
      <c r="AH8" s="42"/>
      <c r="AI8" s="42"/>
      <c r="AJ8" s="42"/>
      <c r="AK8" s="42"/>
      <c r="AL8" s="42"/>
      <c r="AM8" s="42"/>
      <c r="AN8" s="42"/>
      <c r="AO8" s="42"/>
      <c r="AP8" s="42"/>
      <c r="AQ8" s="42"/>
      <c r="AR8" s="42"/>
      <c r="AS8" s="42"/>
      <c r="AT8" s="42"/>
      <c r="AU8" s="42"/>
      <c r="AV8" s="42"/>
    </row>
    <row r="9" spans="1:48" s="43" customFormat="1" ht="60" customHeight="1">
      <c r="A9" s="42"/>
      <c r="B9" s="46"/>
      <c r="C9" s="81"/>
      <c r="D9" s="42"/>
      <c r="E9" s="38" t="s">
        <v>55</v>
      </c>
      <c r="F9" s="8"/>
      <c r="G9" s="8"/>
      <c r="H9" s="10"/>
      <c r="I9" s="9"/>
      <c r="J9" s="9"/>
      <c r="K9" s="9"/>
      <c r="L9" s="9"/>
      <c r="M9" s="9"/>
      <c r="N9" s="9"/>
      <c r="O9" s="8" t="e">
        <f t="shared" si="0"/>
        <v>#N/A</v>
      </c>
      <c r="P9" s="52" t="e">
        <f>RANK(O9,$O6:$O14,0)</f>
        <v>#N/A</v>
      </c>
      <c r="Q9" s="47"/>
      <c r="R9" s="42"/>
      <c r="S9" s="42" t="s">
        <v>21</v>
      </c>
      <c r="T9" s="42">
        <v>0.2</v>
      </c>
      <c r="U9" s="42"/>
      <c r="V9" s="56" t="e">
        <f>VLOOKUP(F9, Table285[#All], 2, 0)</f>
        <v>#N/A</v>
      </c>
      <c r="W9" s="56" t="e">
        <f>VLOOKUP(G9, Table285[#All], 2, 0)</f>
        <v>#N/A</v>
      </c>
      <c r="X9" s="56" t="e">
        <f>VLOOKUP(H9, Table285[#All], 2, 0)</f>
        <v>#N/A</v>
      </c>
      <c r="Y9" s="53"/>
      <c r="Z9" s="54" t="e">
        <f>1/Y10</f>
        <v>#N/A</v>
      </c>
      <c r="AA9" s="54" t="e">
        <f>1/Y11</f>
        <v>#N/A</v>
      </c>
      <c r="AB9" s="54" t="e">
        <f>1/Y12</f>
        <v>#N/A</v>
      </c>
      <c r="AC9" s="54" t="e">
        <f>1/Y13</f>
        <v>#N/A</v>
      </c>
      <c r="AD9" s="54" t="e">
        <f>1/Y14</f>
        <v>#N/A</v>
      </c>
      <c r="AE9" s="55" t="e">
        <f t="shared" si="1"/>
        <v>#N/A</v>
      </c>
      <c r="AF9" s="42"/>
      <c r="AG9" s="42"/>
      <c r="AH9" s="42"/>
      <c r="AI9" s="42"/>
      <c r="AJ9" s="42"/>
      <c r="AK9" s="42"/>
      <c r="AL9" s="42"/>
      <c r="AM9" s="42"/>
      <c r="AN9" s="42"/>
      <c r="AO9" s="42"/>
      <c r="AP9" s="42"/>
      <c r="AQ9" s="42"/>
      <c r="AR9" s="42"/>
      <c r="AS9" s="42"/>
      <c r="AT9" s="42"/>
      <c r="AU9" s="42"/>
      <c r="AV9" s="42"/>
    </row>
    <row r="10" spans="1:48" s="43" customFormat="1" ht="60" customHeight="1">
      <c r="A10" s="42"/>
      <c r="B10" s="46"/>
      <c r="C10" s="81"/>
      <c r="D10" s="42"/>
      <c r="E10" s="38" t="s">
        <v>261</v>
      </c>
      <c r="F10" s="10"/>
      <c r="G10" s="8"/>
      <c r="H10" s="8"/>
      <c r="I10" s="10"/>
      <c r="J10" s="11"/>
      <c r="K10" s="11"/>
      <c r="L10" s="11"/>
      <c r="M10" s="11"/>
      <c r="N10" s="11"/>
      <c r="O10" s="8" t="e">
        <f t="shared" si="0"/>
        <v>#N/A</v>
      </c>
      <c r="P10" s="52" t="e">
        <f>RANK(O10,$O6:$O14,0)</f>
        <v>#N/A</v>
      </c>
      <c r="Q10" s="47"/>
      <c r="R10" s="42"/>
      <c r="S10" s="42" t="s">
        <v>22</v>
      </c>
      <c r="T10" s="42">
        <v>0.1</v>
      </c>
      <c r="U10" s="42"/>
      <c r="V10" s="56" t="e">
        <f>VLOOKUP(F10, Table285[#All], 2, 0)</f>
        <v>#N/A</v>
      </c>
      <c r="W10" s="56" t="e">
        <f>VLOOKUP(G10, Table285[#All], 2, 0)</f>
        <v>#N/A</v>
      </c>
      <c r="X10" s="56" t="e">
        <f>VLOOKUP(H10, Table285[#All], 2, 0)</f>
        <v>#N/A</v>
      </c>
      <c r="Y10" s="56" t="e">
        <f>VLOOKUP(I10, Table285[#All], 2, 0)</f>
        <v>#N/A</v>
      </c>
      <c r="Z10" s="53"/>
      <c r="AA10" s="54" t="e">
        <f>1/Z11</f>
        <v>#N/A</v>
      </c>
      <c r="AB10" s="54" t="e">
        <f>1/Z12</f>
        <v>#N/A</v>
      </c>
      <c r="AC10" s="54" t="e">
        <f>1/Z13</f>
        <v>#N/A</v>
      </c>
      <c r="AD10" s="54" t="e">
        <f>1/Z14</f>
        <v>#N/A</v>
      </c>
      <c r="AE10" s="55" t="e">
        <f t="shared" si="1"/>
        <v>#N/A</v>
      </c>
      <c r="AF10" s="42"/>
      <c r="AG10" s="42"/>
      <c r="AH10" s="42"/>
      <c r="AI10" s="42"/>
      <c r="AJ10" s="42"/>
      <c r="AK10" s="42"/>
      <c r="AL10" s="42"/>
      <c r="AM10" s="42"/>
      <c r="AN10" s="42"/>
      <c r="AO10" s="42"/>
      <c r="AP10" s="42"/>
      <c r="AQ10" s="42"/>
      <c r="AR10" s="42"/>
      <c r="AS10" s="42"/>
      <c r="AT10" s="42"/>
      <c r="AU10" s="42"/>
      <c r="AV10" s="42"/>
    </row>
    <row r="11" spans="1:48" s="43" customFormat="1" ht="78.400000000000006" customHeight="1">
      <c r="A11" s="42"/>
      <c r="B11" s="46"/>
      <c r="C11" s="81"/>
      <c r="D11" s="42"/>
      <c r="E11" s="38" t="s">
        <v>263</v>
      </c>
      <c r="F11" s="8"/>
      <c r="G11" s="8"/>
      <c r="H11" s="10"/>
      <c r="I11" s="8"/>
      <c r="J11" s="8"/>
      <c r="K11" s="11"/>
      <c r="L11" s="11"/>
      <c r="M11" s="11"/>
      <c r="N11" s="11"/>
      <c r="O11" s="8" t="e">
        <f t="shared" si="0"/>
        <v>#N/A</v>
      </c>
      <c r="P11" s="52" t="e">
        <f>RANK(O11,$O6:$O14,0)</f>
        <v>#N/A</v>
      </c>
      <c r="Q11" s="47"/>
      <c r="R11" s="42"/>
      <c r="S11" s="42"/>
      <c r="T11" s="42"/>
      <c r="U11" s="42"/>
      <c r="V11" s="56" t="e">
        <f>VLOOKUP(F11, Table285[#All], 2, 0)</f>
        <v>#N/A</v>
      </c>
      <c r="W11" s="56" t="e">
        <f>VLOOKUP(G11, Table285[#All], 2, 0)</f>
        <v>#N/A</v>
      </c>
      <c r="X11" s="56" t="e">
        <f>VLOOKUP(H11, Table285[#All], 2, 0)</f>
        <v>#N/A</v>
      </c>
      <c r="Y11" s="56" t="e">
        <f>VLOOKUP(I11, Table285[#All], 2, 0)</f>
        <v>#N/A</v>
      </c>
      <c r="Z11" s="56" t="e">
        <f>VLOOKUP(J11, Table285[#All], 2, 0)</f>
        <v>#N/A</v>
      </c>
      <c r="AA11" s="53"/>
      <c r="AB11" s="54" t="e">
        <f>1/AA12</f>
        <v>#N/A</v>
      </c>
      <c r="AC11" s="54" t="e">
        <f>1/AA13</f>
        <v>#N/A</v>
      </c>
      <c r="AD11" s="54" t="e">
        <f>1/AA14</f>
        <v>#N/A</v>
      </c>
      <c r="AE11" s="55" t="e">
        <f t="shared" si="1"/>
        <v>#N/A</v>
      </c>
      <c r="AF11" s="42"/>
      <c r="AG11" s="42"/>
      <c r="AH11" s="42"/>
      <c r="AI11" s="42"/>
      <c r="AJ11" s="42"/>
      <c r="AK11" s="42"/>
      <c r="AL11" s="42"/>
      <c r="AM11" s="42"/>
      <c r="AN11" s="42"/>
      <c r="AO11" s="42"/>
      <c r="AP11" s="42"/>
      <c r="AQ11" s="42"/>
      <c r="AR11" s="42"/>
      <c r="AS11" s="42"/>
      <c r="AT11" s="42"/>
      <c r="AU11" s="42"/>
      <c r="AV11" s="42"/>
    </row>
    <row r="12" spans="1:48" s="43" customFormat="1" ht="48.95" customHeight="1" thickBot="1">
      <c r="A12" s="42"/>
      <c r="B12" s="46"/>
      <c r="C12" s="82"/>
      <c r="D12" s="42"/>
      <c r="E12" s="38" t="s">
        <v>264</v>
      </c>
      <c r="F12" s="10"/>
      <c r="G12" s="8"/>
      <c r="H12" s="8"/>
      <c r="I12" s="8"/>
      <c r="J12" s="8"/>
      <c r="K12" s="8"/>
      <c r="L12" s="11"/>
      <c r="M12" s="11"/>
      <c r="N12" s="11"/>
      <c r="O12" s="8" t="e">
        <f t="shared" si="0"/>
        <v>#N/A</v>
      </c>
      <c r="P12" s="52" t="e">
        <f>RANK(O12,$O6:$O14,0)</f>
        <v>#N/A</v>
      </c>
      <c r="Q12" s="47"/>
      <c r="R12" s="42"/>
      <c r="S12" s="42"/>
      <c r="T12" s="42"/>
      <c r="U12" s="42"/>
      <c r="V12" s="56" t="e">
        <f>VLOOKUP(F12, Table285[#All], 2, 0)</f>
        <v>#N/A</v>
      </c>
      <c r="W12" s="56" t="e">
        <f>VLOOKUP(G12, Table285[#All], 2, 0)</f>
        <v>#N/A</v>
      </c>
      <c r="X12" s="56" t="e">
        <f>VLOOKUP(H12, Table285[#All], 2, 0)</f>
        <v>#N/A</v>
      </c>
      <c r="Y12" s="56" t="e">
        <f>VLOOKUP(I12, Table285[#All], 2, 0)</f>
        <v>#N/A</v>
      </c>
      <c r="Z12" s="56" t="e">
        <f>VLOOKUP(J12, Table285[#All], 2, 0)</f>
        <v>#N/A</v>
      </c>
      <c r="AA12" s="56" t="e">
        <f>VLOOKUP(K12, Table285[#All], 2, 0)</f>
        <v>#N/A</v>
      </c>
      <c r="AB12" s="53"/>
      <c r="AC12" s="54" t="e">
        <f>1/AB13</f>
        <v>#N/A</v>
      </c>
      <c r="AD12" s="54" t="e">
        <f>1/AB14</f>
        <v>#N/A</v>
      </c>
      <c r="AE12" s="55" t="e">
        <f t="shared" si="1"/>
        <v>#N/A</v>
      </c>
      <c r="AF12" s="42"/>
      <c r="AG12" s="42"/>
      <c r="AH12" s="42"/>
      <c r="AI12" s="42"/>
      <c r="AJ12" s="42"/>
      <c r="AK12" s="42"/>
      <c r="AL12" s="42"/>
      <c r="AM12" s="42"/>
      <c r="AN12" s="42"/>
      <c r="AO12" s="42"/>
      <c r="AP12" s="42"/>
      <c r="AQ12" s="42"/>
      <c r="AR12" s="42"/>
      <c r="AS12" s="42"/>
      <c r="AT12" s="42"/>
      <c r="AU12" s="42"/>
      <c r="AV12" s="42"/>
    </row>
    <row r="13" spans="1:48" s="43" customFormat="1" ht="44.25" customHeight="1">
      <c r="A13" s="42"/>
      <c r="B13" s="46"/>
      <c r="C13" s="69"/>
      <c r="D13" s="42"/>
      <c r="E13" s="38" t="s">
        <v>265</v>
      </c>
      <c r="F13" s="10"/>
      <c r="G13" s="10"/>
      <c r="H13" s="10"/>
      <c r="I13" s="8"/>
      <c r="J13" s="8"/>
      <c r="K13" s="10"/>
      <c r="L13" s="10"/>
      <c r="M13" s="12"/>
      <c r="N13" s="12"/>
      <c r="O13" s="8" t="e">
        <f t="shared" si="0"/>
        <v>#N/A</v>
      </c>
      <c r="P13" s="52" t="e">
        <f>RANK(O13,$O6:$O14,0)</f>
        <v>#N/A</v>
      </c>
      <c r="Q13" s="47"/>
      <c r="R13" s="42"/>
      <c r="S13" s="42"/>
      <c r="T13" s="42"/>
      <c r="U13" s="42"/>
      <c r="V13" s="56" t="e">
        <f>VLOOKUP(F13, Table285[#All], 2, 0)</f>
        <v>#N/A</v>
      </c>
      <c r="W13" s="56" t="e">
        <f>VLOOKUP(G13, Table285[#All], 2, 0)</f>
        <v>#N/A</v>
      </c>
      <c r="X13" s="56" t="e">
        <f>VLOOKUP(H13, Table285[#All], 2, 0)</f>
        <v>#N/A</v>
      </c>
      <c r="Y13" s="56" t="e">
        <f>VLOOKUP(I13, Table285[#All], 2, 0)</f>
        <v>#N/A</v>
      </c>
      <c r="Z13" s="56" t="e">
        <f>VLOOKUP(J13, Table285[#All], 2, 0)</f>
        <v>#N/A</v>
      </c>
      <c r="AA13" s="56" t="e">
        <f>VLOOKUP(K13, Table285[#All], 2, 0)</f>
        <v>#N/A</v>
      </c>
      <c r="AB13" s="56" t="e">
        <f>VLOOKUP(L13, Table285[#All], 2, 0)</f>
        <v>#N/A</v>
      </c>
      <c r="AC13" s="66"/>
      <c r="AD13" s="67" t="e">
        <f>1/AC14</f>
        <v>#N/A</v>
      </c>
      <c r="AE13" s="55" t="e">
        <f t="shared" si="1"/>
        <v>#N/A</v>
      </c>
      <c r="AF13" s="42"/>
      <c r="AG13" s="42"/>
      <c r="AH13" s="42"/>
      <c r="AI13" s="42"/>
      <c r="AJ13" s="42"/>
      <c r="AK13" s="42"/>
      <c r="AL13" s="42"/>
      <c r="AM13" s="42"/>
      <c r="AN13" s="42"/>
      <c r="AO13" s="42"/>
      <c r="AP13" s="42"/>
      <c r="AQ13" s="42"/>
      <c r="AR13" s="42"/>
      <c r="AS13" s="42"/>
      <c r="AT13" s="42"/>
      <c r="AU13" s="42"/>
      <c r="AV13" s="42"/>
    </row>
    <row r="14" spans="1:48" s="43" customFormat="1" ht="67.900000000000006" customHeight="1" thickBot="1">
      <c r="A14" s="42"/>
      <c r="B14" s="46"/>
      <c r="C14" s="42"/>
      <c r="D14" s="42"/>
      <c r="E14" s="39" t="s">
        <v>266</v>
      </c>
      <c r="F14" s="13"/>
      <c r="G14" s="13"/>
      <c r="H14" s="5"/>
      <c r="I14" s="13"/>
      <c r="J14" s="13"/>
      <c r="K14" s="13"/>
      <c r="L14" s="5"/>
      <c r="M14" s="5"/>
      <c r="N14" s="6"/>
      <c r="O14" s="13" t="e">
        <f t="shared" si="0"/>
        <v>#N/A</v>
      </c>
      <c r="P14" s="57" t="e">
        <f>RANK(O14,$O6:$O14,0)</f>
        <v>#N/A</v>
      </c>
      <c r="Q14" s="47"/>
      <c r="R14" s="42"/>
      <c r="S14" s="42"/>
      <c r="T14" s="42"/>
      <c r="U14" s="42"/>
      <c r="V14" s="56" t="e">
        <f>VLOOKUP(F14, Table285[#All], 2, 0)</f>
        <v>#N/A</v>
      </c>
      <c r="W14" s="56" t="e">
        <f>VLOOKUP(G14, Table285[#All], 2, 0)</f>
        <v>#N/A</v>
      </c>
      <c r="X14" s="56" t="e">
        <f>VLOOKUP(H14, Table285[#All], 2, 0)</f>
        <v>#N/A</v>
      </c>
      <c r="Y14" s="56" t="e">
        <f>VLOOKUP(I14, Table285[#All], 2, 0)</f>
        <v>#N/A</v>
      </c>
      <c r="Z14" s="56" t="e">
        <f>VLOOKUP(J14, Table285[#All], 2, 0)</f>
        <v>#N/A</v>
      </c>
      <c r="AA14" s="56" t="e">
        <f>VLOOKUP(K14, Table285[#All], 2, 0)</f>
        <v>#N/A</v>
      </c>
      <c r="AB14" s="56" t="e">
        <f>VLOOKUP(L14, Table285[#All], 2, 0)</f>
        <v>#N/A</v>
      </c>
      <c r="AC14" s="56" t="e">
        <f>VLOOKUP(M14, Table285[#All], 2, 0)</f>
        <v>#N/A</v>
      </c>
      <c r="AD14" s="66"/>
      <c r="AE14" s="55" t="e">
        <f t="shared" si="1"/>
        <v>#N/A</v>
      </c>
      <c r="AF14" s="42"/>
      <c r="AG14" s="42"/>
      <c r="AH14" s="42"/>
      <c r="AI14" s="42"/>
      <c r="AJ14" s="42"/>
      <c r="AK14" s="42"/>
      <c r="AL14" s="42"/>
      <c r="AM14" s="42"/>
      <c r="AN14" s="42"/>
      <c r="AO14" s="42"/>
      <c r="AP14" s="42"/>
      <c r="AQ14" s="42"/>
      <c r="AR14" s="42"/>
      <c r="AS14" s="42"/>
      <c r="AT14" s="42"/>
      <c r="AU14" s="42"/>
      <c r="AV14" s="42"/>
    </row>
    <row r="15" spans="1:48" s="43" customFormat="1">
      <c r="A15" s="42"/>
      <c r="B15" s="46"/>
      <c r="C15" s="42"/>
      <c r="D15" s="42"/>
      <c r="E15" s="59"/>
      <c r="F15" s="31"/>
      <c r="G15" s="31"/>
      <c r="H15" s="31"/>
      <c r="I15" s="31"/>
      <c r="J15" s="31"/>
      <c r="K15" s="31"/>
      <c r="L15" s="31"/>
      <c r="M15" s="31"/>
      <c r="N15" s="31"/>
      <c r="O15" s="42"/>
      <c r="P15" s="42"/>
      <c r="Q15" s="47"/>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row>
    <row r="16" spans="1:48" s="43" customFormat="1" ht="16.5" thickBot="1">
      <c r="A16" s="42"/>
      <c r="B16" s="62"/>
      <c r="C16" s="63"/>
      <c r="D16" s="63"/>
      <c r="E16" s="63"/>
      <c r="F16" s="33"/>
      <c r="G16" s="33"/>
      <c r="H16" s="33"/>
      <c r="I16" s="33"/>
      <c r="J16" s="33"/>
      <c r="K16" s="33"/>
      <c r="L16" s="33"/>
      <c r="M16" s="33"/>
      <c r="N16" s="33"/>
      <c r="O16" s="63"/>
      <c r="P16" s="63"/>
      <c r="Q16" s="64"/>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row>
    <row r="17" spans="1:48" s="43" customFormat="1">
      <c r="A17" s="42"/>
      <c r="B17" s="42"/>
      <c r="C17" s="42"/>
      <c r="D17" s="42"/>
      <c r="E17" s="71"/>
      <c r="F17" s="31"/>
      <c r="G17" s="31"/>
      <c r="H17" s="31"/>
      <c r="I17" s="31"/>
      <c r="J17" s="31"/>
      <c r="K17" s="31"/>
      <c r="L17" s="31"/>
      <c r="M17" s="31"/>
      <c r="N17" s="31"/>
      <c r="O17" s="42"/>
      <c r="P17" s="42"/>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row>
    <row r="18" spans="1:48" s="43" customFormat="1">
      <c r="A18" s="42"/>
      <c r="B18" s="42"/>
      <c r="C18" s="42"/>
      <c r="D18" s="42"/>
      <c r="E18" s="42"/>
      <c r="F18" s="72"/>
      <c r="G18" s="72"/>
      <c r="H18" s="72"/>
      <c r="I18" s="72"/>
      <c r="J18" s="72"/>
      <c r="K18" s="72"/>
      <c r="L18" s="72"/>
      <c r="M18" s="72"/>
      <c r="N18" s="72"/>
      <c r="O18" s="73"/>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row>
    <row r="19" spans="1:48" s="43" customFormat="1">
      <c r="A19" s="42"/>
      <c r="B19" s="42"/>
      <c r="C19" s="42"/>
      <c r="D19" s="42"/>
      <c r="E19" s="71"/>
      <c r="F19" s="72"/>
      <c r="G19" s="72"/>
      <c r="H19" s="72"/>
      <c r="I19" s="72"/>
      <c r="J19" s="72"/>
      <c r="K19" s="72"/>
      <c r="L19" s="72"/>
      <c r="M19" s="72"/>
      <c r="N19" s="72"/>
      <c r="O19" s="73"/>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row>
    <row r="20" spans="1:48" s="43" customFormat="1">
      <c r="A20" s="42"/>
      <c r="B20" s="42"/>
      <c r="C20" s="42"/>
      <c r="D20" s="42"/>
      <c r="E20" s="31"/>
      <c r="F20" s="72"/>
      <c r="G20" s="72"/>
      <c r="H20" s="72"/>
      <c r="I20" s="72"/>
      <c r="J20" s="72"/>
      <c r="K20" s="72"/>
      <c r="L20" s="72"/>
      <c r="M20" s="72"/>
      <c r="N20" s="72"/>
      <c r="O20" s="73"/>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row>
    <row r="21" spans="1:48" s="43" customFormat="1">
      <c r="A21" s="42"/>
      <c r="B21" s="42"/>
      <c r="C21" s="42"/>
      <c r="D21" s="42"/>
      <c r="E21" s="31"/>
      <c r="F21" s="72"/>
      <c r="G21" s="72"/>
      <c r="H21" s="72"/>
      <c r="I21" s="72"/>
      <c r="J21" s="72"/>
      <c r="K21" s="72"/>
      <c r="L21" s="72"/>
      <c r="M21" s="72"/>
      <c r="N21" s="72"/>
      <c r="O21" s="73"/>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row>
    <row r="22" spans="1:48" s="43" customFormat="1">
      <c r="A22" s="42"/>
      <c r="B22" s="42"/>
      <c r="C22" s="42"/>
      <c r="D22" s="42"/>
      <c r="E22" s="7"/>
      <c r="F22" s="72"/>
      <c r="G22" s="72"/>
      <c r="H22" s="72"/>
      <c r="I22" s="72"/>
      <c r="J22" s="72"/>
      <c r="K22" s="72"/>
      <c r="L22" s="72"/>
      <c r="M22" s="72"/>
      <c r="N22" s="72"/>
      <c r="O22" s="73"/>
      <c r="P22" s="42"/>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row>
    <row r="23" spans="1:48" s="43" customFormat="1">
      <c r="A23" s="42"/>
      <c r="B23" s="42"/>
      <c r="C23" s="69"/>
      <c r="D23" s="42"/>
      <c r="E23" s="31"/>
      <c r="F23" s="31"/>
      <c r="G23" s="31"/>
      <c r="H23" s="31"/>
      <c r="I23" s="31"/>
      <c r="J23" s="31"/>
      <c r="K23" s="31"/>
      <c r="L23" s="31"/>
      <c r="M23" s="31"/>
      <c r="N23" s="31"/>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row>
    <row r="24" spans="1:48" s="43" customFormat="1">
      <c r="A24" s="42"/>
      <c r="B24" s="42"/>
      <c r="C24" s="42"/>
      <c r="D24" s="42"/>
      <c r="E24" s="31"/>
      <c r="F24" s="31"/>
      <c r="G24" s="31"/>
      <c r="H24" s="31"/>
      <c r="I24" s="31"/>
      <c r="J24" s="31"/>
      <c r="K24" s="31"/>
      <c r="L24" s="31"/>
      <c r="M24" s="31"/>
      <c r="N24" s="31"/>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row>
    <row r="25" spans="1:48" s="43" customFormat="1">
      <c r="A25" s="42"/>
      <c r="B25" s="42"/>
      <c r="C25" s="42"/>
      <c r="D25" s="42"/>
      <c r="E25" s="31"/>
      <c r="F25" s="31"/>
      <c r="G25" s="31"/>
      <c r="H25" s="31"/>
      <c r="I25" s="31"/>
      <c r="J25" s="31"/>
      <c r="K25" s="31"/>
      <c r="L25" s="31"/>
      <c r="M25" s="31"/>
      <c r="N25" s="31"/>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row>
    <row r="26" spans="1:48" s="43" customFormat="1">
      <c r="A26" s="42"/>
      <c r="B26" s="42"/>
      <c r="C26" s="42"/>
      <c r="D26" s="42"/>
      <c r="E26" s="31"/>
      <c r="F26" s="31"/>
      <c r="G26" s="31"/>
      <c r="H26" s="31"/>
      <c r="I26" s="31"/>
      <c r="J26" s="31"/>
      <c r="K26" s="31"/>
      <c r="L26" s="31"/>
      <c r="M26" s="31"/>
      <c r="N26" s="31"/>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row>
    <row r="27" spans="1:48" s="43" customFormat="1">
      <c r="A27" s="42"/>
      <c r="B27" s="42"/>
      <c r="C27" s="42"/>
      <c r="D27" s="42"/>
      <c r="E27" s="31"/>
      <c r="F27" s="31"/>
      <c r="G27" s="31"/>
      <c r="H27" s="31"/>
      <c r="I27" s="31"/>
      <c r="J27" s="31"/>
      <c r="K27" s="31"/>
      <c r="L27" s="31"/>
      <c r="M27" s="31"/>
      <c r="N27" s="31"/>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row>
    <row r="28" spans="1:48" s="43" customFormat="1">
      <c r="A28" s="42"/>
      <c r="B28" s="42"/>
      <c r="C28" s="42"/>
      <c r="D28" s="42"/>
      <c r="E28" s="31"/>
      <c r="F28" s="31"/>
      <c r="G28" s="31"/>
      <c r="H28" s="31"/>
      <c r="I28" s="31"/>
      <c r="J28" s="31"/>
      <c r="K28" s="31"/>
      <c r="L28" s="31"/>
      <c r="M28" s="31"/>
      <c r="N28" s="31"/>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row>
    <row r="29" spans="1:48" s="43" customFormat="1">
      <c r="A29" s="42"/>
      <c r="B29" s="42"/>
      <c r="C29" s="42"/>
      <c r="D29" s="42"/>
      <c r="E29" s="31"/>
      <c r="F29" s="31"/>
      <c r="G29" s="31"/>
      <c r="H29" s="31"/>
      <c r="I29" s="31"/>
      <c r="J29" s="31"/>
      <c r="K29" s="31"/>
      <c r="L29" s="31"/>
      <c r="M29" s="31"/>
      <c r="N29" s="31"/>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row>
    <row r="30" spans="1:48" s="43" customFormat="1">
      <c r="A30" s="42"/>
      <c r="B30" s="42"/>
      <c r="C30" s="42"/>
      <c r="D30" s="42"/>
      <c r="E30" s="31"/>
      <c r="F30" s="31"/>
      <c r="G30" s="31"/>
      <c r="H30" s="31"/>
      <c r="I30" s="31"/>
      <c r="J30" s="31"/>
      <c r="K30" s="31"/>
      <c r="L30" s="31"/>
      <c r="M30" s="31"/>
      <c r="N30" s="31"/>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row>
    <row r="31" spans="1:48" s="43" customFormat="1">
      <c r="A31" s="42"/>
      <c r="B31" s="42"/>
      <c r="C31" s="42"/>
      <c r="D31" s="42"/>
      <c r="E31" s="31"/>
      <c r="F31" s="31"/>
      <c r="G31" s="31"/>
      <c r="H31" s="31"/>
      <c r="I31" s="31"/>
      <c r="J31" s="31"/>
      <c r="K31" s="31"/>
      <c r="L31" s="31"/>
      <c r="M31" s="31"/>
      <c r="N31" s="31"/>
      <c r="O31" s="42"/>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row>
    <row r="32" spans="1:48" s="43" customFormat="1">
      <c r="A32" s="42"/>
      <c r="B32" s="42"/>
      <c r="C32" s="42"/>
      <c r="D32" s="42"/>
      <c r="E32" s="31"/>
      <c r="F32" s="31"/>
      <c r="G32" s="31"/>
      <c r="H32" s="31"/>
      <c r="I32" s="31"/>
      <c r="J32" s="31"/>
      <c r="K32" s="31"/>
      <c r="L32" s="31"/>
      <c r="M32" s="31"/>
      <c r="N32" s="31"/>
      <c r="O32" s="42"/>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row>
    <row r="33" spans="1:48" s="43" customFormat="1">
      <c r="A33" s="42"/>
      <c r="B33" s="42"/>
      <c r="C33" s="42"/>
      <c r="D33" s="42"/>
      <c r="E33" s="31"/>
      <c r="F33" s="31"/>
      <c r="G33" s="31"/>
      <c r="H33" s="31"/>
      <c r="I33" s="31"/>
      <c r="J33" s="31"/>
      <c r="K33" s="31"/>
      <c r="L33" s="31"/>
      <c r="M33" s="31"/>
      <c r="N33" s="31"/>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row>
    <row r="34" spans="1:48" s="43" customFormat="1">
      <c r="A34" s="42"/>
      <c r="B34" s="42"/>
      <c r="C34" s="42"/>
      <c r="D34" s="42"/>
      <c r="E34" s="31"/>
      <c r="F34" s="31"/>
      <c r="G34" s="31"/>
      <c r="H34" s="31"/>
      <c r="I34" s="31"/>
      <c r="J34" s="31"/>
      <c r="K34" s="31"/>
      <c r="L34" s="31"/>
      <c r="M34" s="31"/>
      <c r="N34" s="31"/>
      <c r="O34" s="42"/>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row>
    <row r="35" spans="1:48" s="43" customFormat="1">
      <c r="A35" s="42"/>
      <c r="B35" s="42"/>
      <c r="C35" s="42"/>
      <c r="D35" s="42"/>
      <c r="E35" s="31"/>
      <c r="F35" s="31"/>
      <c r="G35" s="31"/>
      <c r="H35" s="31"/>
      <c r="I35" s="31"/>
      <c r="J35" s="31"/>
      <c r="K35" s="31"/>
      <c r="L35" s="31"/>
      <c r="M35" s="31"/>
      <c r="N35" s="31"/>
      <c r="O35" s="42"/>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row>
    <row r="36" spans="1:48" s="43" customFormat="1">
      <c r="A36" s="42"/>
      <c r="B36" s="42"/>
      <c r="C36" s="42"/>
      <c r="D36" s="42"/>
      <c r="E36" s="31"/>
      <c r="F36" s="31"/>
      <c r="G36" s="31"/>
      <c r="H36" s="31"/>
      <c r="I36" s="31"/>
      <c r="J36" s="31"/>
      <c r="K36" s="31"/>
      <c r="L36" s="31"/>
      <c r="M36" s="31"/>
      <c r="N36" s="31"/>
      <c r="O36" s="42"/>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row>
    <row r="37" spans="1:48" s="43" customFormat="1">
      <c r="A37" s="42"/>
      <c r="B37" s="42"/>
      <c r="C37" s="42"/>
      <c r="D37" s="42"/>
      <c r="E37" s="31"/>
      <c r="F37" s="31"/>
      <c r="G37" s="31"/>
      <c r="H37" s="31"/>
      <c r="I37" s="31"/>
      <c r="J37" s="31"/>
      <c r="K37" s="31"/>
      <c r="L37" s="31"/>
      <c r="M37" s="31"/>
      <c r="N37" s="31"/>
      <c r="O37" s="42"/>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row>
    <row r="38" spans="1:48" s="43" customFormat="1">
      <c r="A38" s="42"/>
      <c r="B38" s="42"/>
      <c r="C38" s="42"/>
      <c r="D38" s="42"/>
      <c r="E38" s="31"/>
      <c r="F38" s="31"/>
      <c r="G38" s="31"/>
      <c r="H38" s="31"/>
      <c r="I38" s="31"/>
      <c r="J38" s="31"/>
      <c r="K38" s="31"/>
      <c r="L38" s="31"/>
      <c r="M38" s="31"/>
      <c r="N38" s="31"/>
      <c r="O38" s="42"/>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row>
    <row r="39" spans="1:48" s="60" customFormat="1">
      <c r="A39" s="42"/>
      <c r="B39" s="42"/>
      <c r="C39" s="42"/>
      <c r="D39" s="42"/>
      <c r="E39" s="31"/>
      <c r="F39" s="31"/>
      <c r="G39" s="31"/>
      <c r="H39" s="31"/>
      <c r="I39" s="31"/>
      <c r="J39" s="31"/>
      <c r="K39" s="31"/>
      <c r="L39" s="31"/>
      <c r="M39" s="31"/>
      <c r="N39" s="31"/>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row>
    <row r="45" spans="1:48">
      <c r="E45" s="42"/>
    </row>
  </sheetData>
  <mergeCells count="2">
    <mergeCell ref="C2:P2"/>
    <mergeCell ref="E4:P4"/>
  </mergeCells>
  <dataValidations count="1">
    <dataValidation type="list" allowBlank="1" showInputMessage="1" showErrorMessage="1" sqref="M14 J11:J14 F7:F14 K12:K14 L13:L14 I10:I14 G8:G14 H9:H14" xr:uid="{EF510C76-14D5-4C2F-8FB7-DD3399C905B4}">
      <formula1>Scale</formula1>
    </dataValidation>
  </dataValidation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7D63-7D1F-4417-B267-EAB53D2956C2}">
  <dimension ref="A1:BB43"/>
  <sheetViews>
    <sheetView topLeftCell="A4" zoomScale="53" zoomScaleNormal="64" workbookViewId="0">
      <selection activeCell="A4"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17" width="10.625" style="31" customWidth="1"/>
    <col min="18" max="19" width="10.625" style="42" customWidth="1"/>
    <col min="20" max="21" width="3.375" style="42" customWidth="1"/>
    <col min="22" max="37" width="10.875" style="42" hidden="1" customWidth="1"/>
    <col min="38" max="16384" width="10.875" style="42"/>
  </cols>
  <sheetData>
    <row r="1" spans="1:54" s="43" customFormat="1" ht="16.5" thickBot="1">
      <c r="A1" s="42"/>
      <c r="B1" s="42"/>
      <c r="C1" s="42"/>
      <c r="D1" s="42"/>
      <c r="E1" s="31"/>
      <c r="F1" s="31"/>
      <c r="G1" s="31"/>
      <c r="H1" s="31"/>
      <c r="I1" s="31"/>
      <c r="J1" s="31"/>
      <c r="K1" s="31"/>
      <c r="L1" s="31"/>
      <c r="M1" s="31"/>
      <c r="N1" s="31"/>
      <c r="O1" s="31"/>
      <c r="P1" s="31"/>
      <c r="Q1" s="31"/>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row>
    <row r="2" spans="1:54" s="43" customFormat="1" ht="26.25">
      <c r="A2" s="42"/>
      <c r="B2" s="44"/>
      <c r="C2" s="96" t="s">
        <v>308</v>
      </c>
      <c r="D2" s="96"/>
      <c r="E2" s="96"/>
      <c r="F2" s="96"/>
      <c r="G2" s="96"/>
      <c r="H2" s="96"/>
      <c r="I2" s="96"/>
      <c r="J2" s="96"/>
      <c r="K2" s="96"/>
      <c r="L2" s="96"/>
      <c r="M2" s="96"/>
      <c r="N2" s="96"/>
      <c r="O2" s="96"/>
      <c r="P2" s="96"/>
      <c r="Q2" s="96"/>
      <c r="R2" s="96"/>
      <c r="S2" s="96"/>
      <c r="T2" s="45"/>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row>
    <row r="3" spans="1:54" s="43" customFormat="1" ht="21.75" thickBot="1">
      <c r="A3" s="42"/>
      <c r="B3" s="46"/>
      <c r="C3" s="42"/>
      <c r="D3" s="42"/>
      <c r="E3" s="4"/>
      <c r="F3" s="4"/>
      <c r="G3" s="4"/>
      <c r="H3" s="4"/>
      <c r="I3" s="4"/>
      <c r="J3" s="4"/>
      <c r="K3" s="4"/>
      <c r="L3" s="4"/>
      <c r="M3" s="4"/>
      <c r="N3" s="4"/>
      <c r="O3" s="4"/>
      <c r="P3" s="4"/>
      <c r="Q3" s="4"/>
      <c r="R3" s="4"/>
      <c r="S3" s="4"/>
      <c r="T3" s="47"/>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row>
    <row r="4" spans="1:54" s="43" customFormat="1" ht="21.75" thickBot="1">
      <c r="A4" s="42"/>
      <c r="B4" s="46"/>
      <c r="C4" s="3" t="s">
        <v>11</v>
      </c>
      <c r="D4" s="4"/>
      <c r="E4" s="100" t="s">
        <v>12</v>
      </c>
      <c r="F4" s="101"/>
      <c r="G4" s="101"/>
      <c r="H4" s="101"/>
      <c r="I4" s="101"/>
      <c r="J4" s="101"/>
      <c r="K4" s="101"/>
      <c r="L4" s="101"/>
      <c r="M4" s="101"/>
      <c r="N4" s="101"/>
      <c r="O4" s="101"/>
      <c r="P4" s="101"/>
      <c r="Q4" s="101"/>
      <c r="R4" s="101"/>
      <c r="S4" s="102"/>
      <c r="T4" s="47"/>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row>
    <row r="5" spans="1:54" s="43" customFormat="1">
      <c r="A5" s="42"/>
      <c r="B5" s="46"/>
      <c r="C5" s="48"/>
      <c r="D5" s="42"/>
      <c r="E5" s="49" t="s">
        <v>13</v>
      </c>
      <c r="F5" s="50" t="s">
        <v>270</v>
      </c>
      <c r="G5" s="50" t="s">
        <v>271</v>
      </c>
      <c r="H5" s="50" t="s">
        <v>273</v>
      </c>
      <c r="I5" s="50" t="s">
        <v>56</v>
      </c>
      <c r="J5" s="50" t="s">
        <v>276</v>
      </c>
      <c r="K5" s="50" t="s">
        <v>278</v>
      </c>
      <c r="L5" s="50" t="s">
        <v>57</v>
      </c>
      <c r="M5" s="50" t="s">
        <v>280</v>
      </c>
      <c r="N5" s="50" t="s">
        <v>58</v>
      </c>
      <c r="O5" s="50" t="s">
        <v>283</v>
      </c>
      <c r="P5" s="50" t="s">
        <v>59</v>
      </c>
      <c r="Q5" s="50" t="s">
        <v>284</v>
      </c>
      <c r="R5" s="50" t="s">
        <v>14</v>
      </c>
      <c r="S5" s="51" t="s">
        <v>15</v>
      </c>
      <c r="T5" s="47"/>
      <c r="U5" s="42"/>
      <c r="V5" s="42" t="s">
        <v>16</v>
      </c>
      <c r="W5" s="42" t="s">
        <v>17</v>
      </c>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row>
    <row r="6" spans="1:54" s="43" customFormat="1" ht="43.9" customHeight="1">
      <c r="A6" s="42"/>
      <c r="B6" s="46"/>
      <c r="C6" s="48"/>
      <c r="D6" s="42"/>
      <c r="E6" s="37" t="s">
        <v>268</v>
      </c>
      <c r="F6" s="9"/>
      <c r="G6" s="9"/>
      <c r="H6" s="9"/>
      <c r="I6" s="9"/>
      <c r="J6" s="9"/>
      <c r="K6" s="9"/>
      <c r="L6" s="9"/>
      <c r="M6" s="9"/>
      <c r="N6" s="9"/>
      <c r="O6" s="9"/>
      <c r="P6" s="9"/>
      <c r="Q6" s="9"/>
      <c r="R6" s="8" t="e">
        <f t="shared" ref="R6:R17" si="0">AK6</f>
        <v>#N/A</v>
      </c>
      <c r="S6" s="52" t="e">
        <f>RANK(R6,$R6:$R17,0)</f>
        <v>#N/A</v>
      </c>
      <c r="T6" s="47"/>
      <c r="U6" s="42"/>
      <c r="V6" s="42" t="s">
        <v>18</v>
      </c>
      <c r="W6" s="42">
        <v>10</v>
      </c>
      <c r="X6" s="42"/>
      <c r="Y6" s="53"/>
      <c r="Z6" s="54" t="e">
        <f>1/Y7</f>
        <v>#N/A</v>
      </c>
      <c r="AA6" s="54" t="e">
        <f>1/Y8</f>
        <v>#N/A</v>
      </c>
      <c r="AB6" s="54" t="e">
        <f>1/Y9</f>
        <v>#N/A</v>
      </c>
      <c r="AC6" s="54" t="e">
        <f>1/Y10</f>
        <v>#N/A</v>
      </c>
      <c r="AD6" s="54" t="e">
        <f>1/Y11</f>
        <v>#N/A</v>
      </c>
      <c r="AE6" s="54" t="e">
        <f>1/Y12</f>
        <v>#N/A</v>
      </c>
      <c r="AF6" s="54" t="e">
        <f>1/Y13</f>
        <v>#N/A</v>
      </c>
      <c r="AG6" s="54" t="e">
        <f>1/Y14</f>
        <v>#N/A</v>
      </c>
      <c r="AH6" s="54" t="e">
        <f>1/Y15</f>
        <v>#N/A</v>
      </c>
      <c r="AI6" s="54" t="e">
        <f>1/Y16</f>
        <v>#N/A</v>
      </c>
      <c r="AJ6" s="54" t="e">
        <f>1/Y17</f>
        <v>#N/A</v>
      </c>
      <c r="AK6" s="55" t="e">
        <f>SUM(Y6:AJ6)</f>
        <v>#N/A</v>
      </c>
      <c r="AL6" s="42"/>
      <c r="AM6" s="42"/>
      <c r="AN6" s="42"/>
      <c r="AO6" s="42"/>
      <c r="AP6" s="42"/>
      <c r="AQ6" s="42"/>
      <c r="AR6" s="42"/>
      <c r="AS6" s="42"/>
      <c r="AT6" s="42"/>
      <c r="AU6" s="42"/>
      <c r="AV6" s="42"/>
      <c r="AW6" s="42"/>
      <c r="AX6" s="42"/>
      <c r="AY6" s="42"/>
      <c r="AZ6" s="42"/>
      <c r="BA6" s="42"/>
      <c r="BB6" s="42"/>
    </row>
    <row r="7" spans="1:54" s="43" customFormat="1" ht="54" customHeight="1">
      <c r="A7" s="42"/>
      <c r="B7" s="46"/>
      <c r="C7" s="48"/>
      <c r="D7" s="42"/>
      <c r="E7" s="37" t="s">
        <v>269</v>
      </c>
      <c r="F7" s="8"/>
      <c r="G7" s="9"/>
      <c r="H7" s="9"/>
      <c r="I7" s="9"/>
      <c r="J7" s="9"/>
      <c r="K7" s="9"/>
      <c r="L7" s="9"/>
      <c r="M7" s="9"/>
      <c r="N7" s="9"/>
      <c r="O7" s="9"/>
      <c r="P7" s="9"/>
      <c r="Q7" s="9"/>
      <c r="R7" s="8" t="e">
        <f t="shared" si="0"/>
        <v>#N/A</v>
      </c>
      <c r="S7" s="52" t="e">
        <f>RANK(R7,$R6:$R17,0)</f>
        <v>#N/A</v>
      </c>
      <c r="T7" s="47"/>
      <c r="U7" s="42"/>
      <c r="V7" s="42" t="s">
        <v>19</v>
      </c>
      <c r="W7" s="42">
        <v>5</v>
      </c>
      <c r="X7" s="42"/>
      <c r="Y7" s="56" t="e">
        <f>VLOOKUP(F7, Table286[#All], 2, 0)</f>
        <v>#N/A</v>
      </c>
      <c r="Z7" s="53"/>
      <c r="AA7" s="54" t="e">
        <f>1/Z8</f>
        <v>#N/A</v>
      </c>
      <c r="AB7" s="54" t="e">
        <f>1/Z9</f>
        <v>#N/A</v>
      </c>
      <c r="AC7" s="54" t="e">
        <f>1/Z10</f>
        <v>#N/A</v>
      </c>
      <c r="AD7" s="54" t="e">
        <f>1/Z11</f>
        <v>#N/A</v>
      </c>
      <c r="AE7" s="54" t="e">
        <f>1/Z12</f>
        <v>#N/A</v>
      </c>
      <c r="AF7" s="54" t="e">
        <f>1/Z13</f>
        <v>#N/A</v>
      </c>
      <c r="AG7" s="54" t="e">
        <f>1/Z14</f>
        <v>#N/A</v>
      </c>
      <c r="AH7" s="54" t="e">
        <f>1/Z15</f>
        <v>#N/A</v>
      </c>
      <c r="AI7" s="54" t="e">
        <f>1/Z16</f>
        <v>#N/A</v>
      </c>
      <c r="AJ7" s="54" t="e">
        <f>1/Z17</f>
        <v>#N/A</v>
      </c>
      <c r="AK7" s="55" t="e">
        <f t="shared" ref="AK7:AK16" si="1">SUM(Y7:AJ7)</f>
        <v>#N/A</v>
      </c>
      <c r="AL7" s="42"/>
      <c r="AM7" s="42"/>
      <c r="AN7" s="42"/>
      <c r="AO7" s="42"/>
      <c r="AP7" s="42"/>
      <c r="AQ7" s="42"/>
      <c r="AR7" s="42"/>
      <c r="AS7" s="42"/>
      <c r="AT7" s="42"/>
      <c r="AU7" s="42"/>
      <c r="AV7" s="42"/>
      <c r="AW7" s="42"/>
      <c r="AX7" s="42"/>
      <c r="AY7" s="42"/>
      <c r="AZ7" s="42"/>
      <c r="BA7" s="42"/>
      <c r="BB7" s="42"/>
    </row>
    <row r="8" spans="1:54" s="43" customFormat="1" ht="61.9" customHeight="1">
      <c r="A8" s="42"/>
      <c r="B8" s="46"/>
      <c r="C8" s="48"/>
      <c r="D8" s="42"/>
      <c r="E8" s="37" t="s">
        <v>272</v>
      </c>
      <c r="F8" s="8"/>
      <c r="G8" s="8"/>
      <c r="H8" s="9"/>
      <c r="I8" s="9"/>
      <c r="J8" s="9"/>
      <c r="K8" s="9"/>
      <c r="L8" s="9"/>
      <c r="M8" s="9"/>
      <c r="N8" s="9"/>
      <c r="O8" s="9"/>
      <c r="P8" s="9"/>
      <c r="Q8" s="9"/>
      <c r="R8" s="8" t="e">
        <f t="shared" si="0"/>
        <v>#N/A</v>
      </c>
      <c r="S8" s="52" t="e">
        <f>RANK(R8,$R6:$R17,0)</f>
        <v>#N/A</v>
      </c>
      <c r="T8" s="47"/>
      <c r="U8" s="42"/>
      <c r="V8" s="42" t="s">
        <v>20</v>
      </c>
      <c r="W8" s="42">
        <v>1</v>
      </c>
      <c r="X8" s="42"/>
      <c r="Y8" s="56" t="e">
        <f>VLOOKUP(F8, Table286[#All], 2, 0)</f>
        <v>#N/A</v>
      </c>
      <c r="Z8" s="56" t="e">
        <f>VLOOKUP(G8, Table286[#All], 2, 0)</f>
        <v>#N/A</v>
      </c>
      <c r="AA8" s="53"/>
      <c r="AB8" s="54" t="e">
        <f>1/AA9</f>
        <v>#N/A</v>
      </c>
      <c r="AC8" s="54" t="e">
        <f>1/AA10</f>
        <v>#N/A</v>
      </c>
      <c r="AD8" s="54" t="e">
        <f>1/AA11</f>
        <v>#N/A</v>
      </c>
      <c r="AE8" s="54" t="e">
        <f>1/AA12</f>
        <v>#N/A</v>
      </c>
      <c r="AF8" s="54" t="e">
        <f>1/AA13</f>
        <v>#N/A</v>
      </c>
      <c r="AG8" s="54" t="e">
        <f>1/AA14</f>
        <v>#N/A</v>
      </c>
      <c r="AH8" s="54" t="e">
        <f>1/AA15</f>
        <v>#N/A</v>
      </c>
      <c r="AI8" s="54" t="e">
        <f>1/AA16</f>
        <v>#N/A</v>
      </c>
      <c r="AJ8" s="54" t="e">
        <f>1/AA17</f>
        <v>#N/A</v>
      </c>
      <c r="AK8" s="55" t="e">
        <f t="shared" si="1"/>
        <v>#N/A</v>
      </c>
      <c r="AL8" s="42"/>
      <c r="AM8" s="42"/>
      <c r="AN8" s="42"/>
      <c r="AO8" s="42"/>
      <c r="AP8" s="42"/>
      <c r="AQ8" s="42"/>
      <c r="AR8" s="42"/>
      <c r="AS8" s="42"/>
      <c r="AT8" s="42"/>
      <c r="AU8" s="42"/>
      <c r="AV8" s="42"/>
      <c r="AW8" s="42"/>
      <c r="AX8" s="42"/>
      <c r="AY8" s="42"/>
      <c r="AZ8" s="42"/>
      <c r="BA8" s="42"/>
      <c r="BB8" s="42"/>
    </row>
    <row r="9" spans="1:54" s="43" customFormat="1" ht="54.95" customHeight="1">
      <c r="A9" s="42"/>
      <c r="B9" s="46"/>
      <c r="C9" s="48"/>
      <c r="D9" s="42"/>
      <c r="E9" s="38" t="s">
        <v>274</v>
      </c>
      <c r="F9" s="8"/>
      <c r="G9" s="8"/>
      <c r="H9" s="10"/>
      <c r="I9" s="9"/>
      <c r="J9" s="9"/>
      <c r="K9" s="9"/>
      <c r="L9" s="9"/>
      <c r="M9" s="9"/>
      <c r="N9" s="9"/>
      <c r="O9" s="9"/>
      <c r="P9" s="9"/>
      <c r="Q9" s="9"/>
      <c r="R9" s="8" t="e">
        <f t="shared" si="0"/>
        <v>#N/A</v>
      </c>
      <c r="S9" s="52" t="e">
        <f>RANK(R9,$R6:$R17,0)</f>
        <v>#N/A</v>
      </c>
      <c r="T9" s="47"/>
      <c r="U9" s="42"/>
      <c r="V9" s="42" t="s">
        <v>21</v>
      </c>
      <c r="W9" s="42">
        <v>0.2</v>
      </c>
      <c r="X9" s="42"/>
      <c r="Y9" s="56" t="e">
        <f>VLOOKUP(F9, Table286[#All], 2, 0)</f>
        <v>#N/A</v>
      </c>
      <c r="Z9" s="56" t="e">
        <f>VLOOKUP(G9, Table286[#All], 2, 0)</f>
        <v>#N/A</v>
      </c>
      <c r="AA9" s="56" t="e">
        <f>VLOOKUP(H9, Table286[#All], 2, 0)</f>
        <v>#N/A</v>
      </c>
      <c r="AB9" s="53"/>
      <c r="AC9" s="54" t="e">
        <f>1/AB10</f>
        <v>#N/A</v>
      </c>
      <c r="AD9" s="54" t="e">
        <f>1/AB11</f>
        <v>#N/A</v>
      </c>
      <c r="AE9" s="54" t="e">
        <f>1/AB12</f>
        <v>#N/A</v>
      </c>
      <c r="AF9" s="54" t="e">
        <f>1/AB13</f>
        <v>#N/A</v>
      </c>
      <c r="AG9" s="54" t="e">
        <f>1/AB14</f>
        <v>#N/A</v>
      </c>
      <c r="AH9" s="54" t="e">
        <f>1/AB15</f>
        <v>#N/A</v>
      </c>
      <c r="AI9" s="54" t="e">
        <f>1/AB16</f>
        <v>#N/A</v>
      </c>
      <c r="AJ9" s="54" t="e">
        <f>1/AB17</f>
        <v>#N/A</v>
      </c>
      <c r="AK9" s="55" t="e">
        <f t="shared" si="1"/>
        <v>#N/A</v>
      </c>
      <c r="AL9" s="42"/>
      <c r="AM9" s="42"/>
      <c r="AN9" s="42"/>
      <c r="AO9" s="42"/>
      <c r="AP9" s="42"/>
      <c r="AQ9" s="42"/>
      <c r="AR9" s="42"/>
      <c r="AS9" s="42"/>
      <c r="AT9" s="42"/>
      <c r="AU9" s="42"/>
      <c r="AV9" s="42"/>
      <c r="AW9" s="42"/>
      <c r="AX9" s="42"/>
      <c r="AY9" s="42"/>
      <c r="AZ9" s="42"/>
      <c r="BA9" s="42"/>
      <c r="BB9" s="42"/>
    </row>
    <row r="10" spans="1:54" s="43" customFormat="1" ht="57.4" customHeight="1">
      <c r="A10" s="42"/>
      <c r="B10" s="46"/>
      <c r="C10" s="48"/>
      <c r="D10" s="42"/>
      <c r="E10" s="38" t="s">
        <v>275</v>
      </c>
      <c r="F10" s="10"/>
      <c r="G10" s="8"/>
      <c r="H10" s="8"/>
      <c r="I10" s="10"/>
      <c r="J10" s="11"/>
      <c r="K10" s="11"/>
      <c r="L10" s="11"/>
      <c r="M10" s="11"/>
      <c r="N10" s="11"/>
      <c r="O10" s="11"/>
      <c r="P10" s="11"/>
      <c r="Q10" s="11"/>
      <c r="R10" s="8" t="e">
        <f t="shared" si="0"/>
        <v>#N/A</v>
      </c>
      <c r="S10" s="52" t="e">
        <f>RANK(R10,$R6:$R17,0)</f>
        <v>#N/A</v>
      </c>
      <c r="T10" s="47"/>
      <c r="U10" s="42"/>
      <c r="V10" s="42" t="s">
        <v>22</v>
      </c>
      <c r="W10" s="42">
        <v>0.1</v>
      </c>
      <c r="X10" s="42"/>
      <c r="Y10" s="56" t="e">
        <f>VLOOKUP(F10, Table286[#All], 2, 0)</f>
        <v>#N/A</v>
      </c>
      <c r="Z10" s="56" t="e">
        <f>VLOOKUP(G10, Table286[#All], 2, 0)</f>
        <v>#N/A</v>
      </c>
      <c r="AA10" s="56" t="e">
        <f>VLOOKUP(H10, Table286[#All], 2, 0)</f>
        <v>#N/A</v>
      </c>
      <c r="AB10" s="56" t="e">
        <f>VLOOKUP(I10, Table286[#All], 2, 0)</f>
        <v>#N/A</v>
      </c>
      <c r="AC10" s="53"/>
      <c r="AD10" s="54" t="e">
        <f>1/AC11</f>
        <v>#N/A</v>
      </c>
      <c r="AE10" s="54" t="e">
        <f>1/AC12</f>
        <v>#N/A</v>
      </c>
      <c r="AF10" s="54" t="e">
        <f>1/AC13</f>
        <v>#N/A</v>
      </c>
      <c r="AG10" s="54" t="e">
        <f>1/AC14</f>
        <v>#N/A</v>
      </c>
      <c r="AH10" s="54" t="e">
        <f>1/AC15</f>
        <v>#N/A</v>
      </c>
      <c r="AI10" s="54" t="e">
        <f>1/AC15</f>
        <v>#N/A</v>
      </c>
      <c r="AJ10" s="54" t="e">
        <f>1/AC15</f>
        <v>#N/A</v>
      </c>
      <c r="AK10" s="55" t="e">
        <f t="shared" si="1"/>
        <v>#N/A</v>
      </c>
      <c r="AL10" s="42"/>
      <c r="AM10" s="42"/>
      <c r="AN10" s="42"/>
      <c r="AO10" s="42"/>
      <c r="AP10" s="42"/>
      <c r="AQ10" s="42"/>
      <c r="AR10" s="42"/>
      <c r="AS10" s="42"/>
      <c r="AT10" s="42"/>
      <c r="AU10" s="42"/>
      <c r="AV10" s="42"/>
      <c r="AW10" s="42"/>
      <c r="AX10" s="42"/>
      <c r="AY10" s="42"/>
      <c r="AZ10" s="42"/>
      <c r="BA10" s="42"/>
      <c r="BB10" s="42"/>
    </row>
    <row r="11" spans="1:54" s="43" customFormat="1" ht="39.950000000000003" customHeight="1">
      <c r="A11" s="42"/>
      <c r="B11" s="46"/>
      <c r="C11" s="48"/>
      <c r="D11" s="42"/>
      <c r="E11" s="38" t="s">
        <v>277</v>
      </c>
      <c r="F11" s="8"/>
      <c r="G11" s="8"/>
      <c r="H11" s="10"/>
      <c r="I11" s="8"/>
      <c r="J11" s="8"/>
      <c r="K11" s="11"/>
      <c r="L11" s="11"/>
      <c r="M11" s="11"/>
      <c r="N11" s="11"/>
      <c r="O11" s="11"/>
      <c r="P11" s="11"/>
      <c r="Q11" s="11"/>
      <c r="R11" s="8" t="e">
        <f t="shared" si="0"/>
        <v>#N/A</v>
      </c>
      <c r="S11" s="52" t="e">
        <f>RANK(R11,$R6:$R17,0)</f>
        <v>#N/A</v>
      </c>
      <c r="T11" s="47"/>
      <c r="U11" s="42"/>
      <c r="V11" s="42"/>
      <c r="W11" s="42"/>
      <c r="X11" s="42"/>
      <c r="Y11" s="56" t="e">
        <f>VLOOKUP(F11, Table286[#All], 2, 0)</f>
        <v>#N/A</v>
      </c>
      <c r="Z11" s="56" t="e">
        <f>VLOOKUP(G11, Table286[#All], 2, 0)</f>
        <v>#N/A</v>
      </c>
      <c r="AA11" s="56" t="e">
        <f>VLOOKUP(H11, Table286[#All], 2, 0)</f>
        <v>#N/A</v>
      </c>
      <c r="AB11" s="56" t="e">
        <f>VLOOKUP(I11, Table286[#All], 2, 0)</f>
        <v>#N/A</v>
      </c>
      <c r="AC11" s="56" t="e">
        <f>VLOOKUP(J11, Table286[#All], 2, 0)</f>
        <v>#N/A</v>
      </c>
      <c r="AD11" s="53"/>
      <c r="AE11" s="54" t="e">
        <f>1/AD12</f>
        <v>#N/A</v>
      </c>
      <c r="AF11" s="54" t="e">
        <f>1/AD13</f>
        <v>#N/A</v>
      </c>
      <c r="AG11" s="54" t="e">
        <f>1/AD14</f>
        <v>#N/A</v>
      </c>
      <c r="AH11" s="54" t="e">
        <f>1/AD15</f>
        <v>#N/A</v>
      </c>
      <c r="AI11" s="54" t="e">
        <f t="shared" ref="AI11" si="2">1/AD16</f>
        <v>#N/A</v>
      </c>
      <c r="AJ11" s="54" t="e">
        <f>1/AD17</f>
        <v>#N/A</v>
      </c>
      <c r="AK11" s="55" t="e">
        <f t="shared" si="1"/>
        <v>#N/A</v>
      </c>
      <c r="AL11" s="42"/>
      <c r="AM11" s="42"/>
      <c r="AN11" s="42"/>
      <c r="AO11" s="42"/>
      <c r="AP11" s="42"/>
      <c r="AQ11" s="42"/>
      <c r="AR11" s="42"/>
      <c r="AS11" s="42"/>
      <c r="AT11" s="42"/>
      <c r="AU11" s="42"/>
      <c r="AV11" s="42"/>
      <c r="AW11" s="42"/>
      <c r="AX11" s="42"/>
      <c r="AY11" s="42"/>
      <c r="AZ11" s="42"/>
      <c r="BA11" s="42"/>
      <c r="BB11" s="42"/>
    </row>
    <row r="12" spans="1:54" s="43" customFormat="1" ht="54.95" customHeight="1">
      <c r="A12" s="42"/>
      <c r="B12" s="46"/>
      <c r="C12" s="48"/>
      <c r="D12" s="42"/>
      <c r="E12" s="38" t="s">
        <v>279</v>
      </c>
      <c r="F12" s="10"/>
      <c r="G12" s="8"/>
      <c r="H12" s="8"/>
      <c r="I12" s="8"/>
      <c r="J12" s="8"/>
      <c r="K12" s="8"/>
      <c r="L12" s="11"/>
      <c r="M12" s="11"/>
      <c r="N12" s="11"/>
      <c r="O12" s="11"/>
      <c r="P12" s="11"/>
      <c r="Q12" s="11"/>
      <c r="R12" s="8" t="e">
        <f t="shared" si="0"/>
        <v>#N/A</v>
      </c>
      <c r="S12" s="52" t="e">
        <f>RANK(R12,$R6:$R17,0)</f>
        <v>#N/A</v>
      </c>
      <c r="T12" s="47"/>
      <c r="U12" s="42"/>
      <c r="V12" s="42"/>
      <c r="W12" s="42"/>
      <c r="X12" s="42"/>
      <c r="Y12" s="56" t="e">
        <f>VLOOKUP(F12, Table286[#All], 2, 0)</f>
        <v>#N/A</v>
      </c>
      <c r="Z12" s="56" t="e">
        <f>VLOOKUP(G12, Table286[#All], 2, 0)</f>
        <v>#N/A</v>
      </c>
      <c r="AA12" s="56" t="e">
        <f>VLOOKUP(H12, Table286[#All], 2, 0)</f>
        <v>#N/A</v>
      </c>
      <c r="AB12" s="56" t="e">
        <f>VLOOKUP(I12, Table286[#All], 2, 0)</f>
        <v>#N/A</v>
      </c>
      <c r="AC12" s="56" t="e">
        <f>VLOOKUP(J12, Table286[#All], 2, 0)</f>
        <v>#N/A</v>
      </c>
      <c r="AD12" s="56" t="e">
        <f>VLOOKUP(K12, Table286[#All], 2, 0)</f>
        <v>#N/A</v>
      </c>
      <c r="AE12" s="53"/>
      <c r="AF12" s="54" t="e">
        <f>1/AE13</f>
        <v>#N/A</v>
      </c>
      <c r="AG12" s="54" t="e">
        <f>1/AE14</f>
        <v>#N/A</v>
      </c>
      <c r="AH12" s="54" t="e">
        <f>1/AE15</f>
        <v>#N/A</v>
      </c>
      <c r="AI12" s="54" t="e">
        <f>1/AE16</f>
        <v>#N/A</v>
      </c>
      <c r="AJ12" s="54" t="e">
        <f t="shared" ref="AJ12" si="3">1/AE17</f>
        <v>#N/A</v>
      </c>
      <c r="AK12" s="55" t="e">
        <f t="shared" si="1"/>
        <v>#N/A</v>
      </c>
      <c r="AL12" s="42"/>
      <c r="AM12" s="42"/>
      <c r="AN12" s="42"/>
      <c r="AO12" s="42"/>
      <c r="AP12" s="42"/>
      <c r="AQ12" s="42"/>
      <c r="AR12" s="42"/>
      <c r="AS12" s="42"/>
      <c r="AT12" s="42"/>
      <c r="AU12" s="42"/>
      <c r="AV12" s="42"/>
      <c r="AW12" s="42"/>
      <c r="AX12" s="42"/>
      <c r="AY12" s="42"/>
      <c r="AZ12" s="42"/>
      <c r="BA12" s="42"/>
      <c r="BB12" s="42"/>
    </row>
    <row r="13" spans="1:54" s="43" customFormat="1" ht="51" customHeight="1">
      <c r="A13" s="42"/>
      <c r="B13" s="46"/>
      <c r="C13" s="48"/>
      <c r="D13" s="42"/>
      <c r="E13" s="38" t="s">
        <v>281</v>
      </c>
      <c r="F13" s="10"/>
      <c r="G13" s="10"/>
      <c r="H13" s="10"/>
      <c r="I13" s="8"/>
      <c r="J13" s="8"/>
      <c r="K13" s="10"/>
      <c r="L13" s="10"/>
      <c r="M13" s="12"/>
      <c r="N13" s="12"/>
      <c r="O13" s="12"/>
      <c r="P13" s="12"/>
      <c r="Q13" s="12"/>
      <c r="R13" s="8" t="e">
        <f t="shared" si="0"/>
        <v>#N/A</v>
      </c>
      <c r="S13" s="52" t="e">
        <f>RANK(R13,$R6:$R17,0)</f>
        <v>#N/A</v>
      </c>
      <c r="T13" s="47"/>
      <c r="U13" s="42"/>
      <c r="V13" s="42"/>
      <c r="W13" s="42"/>
      <c r="X13" s="42"/>
      <c r="Y13" s="56" t="e">
        <f>VLOOKUP(F13, Table286[#All], 2, 0)</f>
        <v>#N/A</v>
      </c>
      <c r="Z13" s="56" t="e">
        <f>VLOOKUP(G13, Table286[#All], 2, 0)</f>
        <v>#N/A</v>
      </c>
      <c r="AA13" s="56" t="e">
        <f>VLOOKUP(H13, Table286[#All], 2, 0)</f>
        <v>#N/A</v>
      </c>
      <c r="AB13" s="56" t="e">
        <f>VLOOKUP(I13, Table286[#All], 2, 0)</f>
        <v>#N/A</v>
      </c>
      <c r="AC13" s="56" t="e">
        <f>VLOOKUP(J13, Table286[#All], 2, 0)</f>
        <v>#N/A</v>
      </c>
      <c r="AD13" s="56" t="e">
        <f>VLOOKUP(K13, Table286[#All], 2, 0)</f>
        <v>#N/A</v>
      </c>
      <c r="AE13" s="56" t="e">
        <f>VLOOKUP(L13, Table286[#All], 2, 0)</f>
        <v>#N/A</v>
      </c>
      <c r="AF13" s="66"/>
      <c r="AG13" s="67" t="e">
        <f>1/AF14</f>
        <v>#N/A</v>
      </c>
      <c r="AH13" s="54" t="e">
        <f>1/AF15</f>
        <v>#N/A</v>
      </c>
      <c r="AI13" s="54" t="e">
        <f>1/AF16</f>
        <v>#N/A</v>
      </c>
      <c r="AJ13" s="54" t="e">
        <f>1/AF17</f>
        <v>#N/A</v>
      </c>
      <c r="AK13" s="55" t="e">
        <f t="shared" si="1"/>
        <v>#N/A</v>
      </c>
      <c r="AL13" s="42"/>
      <c r="AM13" s="42"/>
      <c r="AN13" s="42"/>
      <c r="AO13" s="42"/>
      <c r="AP13" s="42"/>
      <c r="AQ13" s="42"/>
      <c r="AR13" s="42"/>
      <c r="AS13" s="42"/>
      <c r="AT13" s="42"/>
      <c r="AU13" s="42"/>
      <c r="AV13" s="42"/>
      <c r="AW13" s="42"/>
      <c r="AX13" s="42"/>
      <c r="AY13" s="42"/>
      <c r="AZ13" s="42"/>
      <c r="BA13" s="42"/>
      <c r="BB13" s="42"/>
    </row>
    <row r="14" spans="1:54" s="43" customFormat="1" ht="64.349999999999994" customHeight="1">
      <c r="A14" s="42"/>
      <c r="B14" s="46"/>
      <c r="C14" s="48"/>
      <c r="D14" s="42"/>
      <c r="E14" s="38" t="s">
        <v>282</v>
      </c>
      <c r="F14" s="8"/>
      <c r="G14" s="8"/>
      <c r="H14" s="10"/>
      <c r="I14" s="8"/>
      <c r="J14" s="8"/>
      <c r="K14" s="8"/>
      <c r="L14" s="10"/>
      <c r="M14" s="10"/>
      <c r="N14" s="12"/>
      <c r="O14" s="12"/>
      <c r="P14" s="12"/>
      <c r="Q14" s="12"/>
      <c r="R14" s="8" t="e">
        <f t="shared" si="0"/>
        <v>#N/A</v>
      </c>
      <c r="S14" s="52" t="e">
        <f>RANK(R14,$R6:$R17,0)</f>
        <v>#N/A</v>
      </c>
      <c r="T14" s="47"/>
      <c r="U14" s="42"/>
      <c r="V14" s="42"/>
      <c r="W14" s="42"/>
      <c r="X14" s="42"/>
      <c r="Y14" s="56" t="e">
        <f>VLOOKUP(F14, Table286[#All], 2, 0)</f>
        <v>#N/A</v>
      </c>
      <c r="Z14" s="56" t="e">
        <f>VLOOKUP(G14, Table286[#All], 2, 0)</f>
        <v>#N/A</v>
      </c>
      <c r="AA14" s="56" t="e">
        <f>VLOOKUP(H14, Table286[#All], 2, 0)</f>
        <v>#N/A</v>
      </c>
      <c r="AB14" s="56" t="e">
        <f>VLOOKUP(I14, Table286[#All], 2, 0)</f>
        <v>#N/A</v>
      </c>
      <c r="AC14" s="56" t="e">
        <f>VLOOKUP(J14, Table286[#All], 2, 0)</f>
        <v>#N/A</v>
      </c>
      <c r="AD14" s="56" t="e">
        <f>VLOOKUP(K14, Table286[#All], 2, 0)</f>
        <v>#N/A</v>
      </c>
      <c r="AE14" s="56" t="e">
        <f>VLOOKUP(L14, Table286[#All], 2, 0)</f>
        <v>#N/A</v>
      </c>
      <c r="AF14" s="56" t="e">
        <f>VLOOKUP(M14, Table286[#All], 2, 0)</f>
        <v>#N/A</v>
      </c>
      <c r="AG14" s="66"/>
      <c r="AH14" s="54" t="e">
        <f>1/AG15</f>
        <v>#N/A</v>
      </c>
      <c r="AI14" s="54" t="e">
        <f>1/AG16</f>
        <v>#N/A</v>
      </c>
      <c r="AJ14" s="54" t="e">
        <f>1/AG17</f>
        <v>#N/A</v>
      </c>
      <c r="AK14" s="55" t="e">
        <f t="shared" si="1"/>
        <v>#N/A</v>
      </c>
      <c r="AL14" s="42"/>
      <c r="AM14" s="42"/>
      <c r="AN14" s="42"/>
      <c r="AO14" s="42"/>
      <c r="AP14" s="42"/>
      <c r="AQ14" s="42"/>
      <c r="AR14" s="42"/>
      <c r="AS14" s="42"/>
      <c r="AT14" s="42"/>
      <c r="AU14" s="42"/>
      <c r="AV14" s="42"/>
      <c r="AW14" s="42"/>
      <c r="AX14" s="42"/>
      <c r="AY14" s="42"/>
      <c r="AZ14" s="42"/>
      <c r="BA14" s="42"/>
      <c r="BB14" s="42"/>
    </row>
    <row r="15" spans="1:54" s="43" customFormat="1" ht="49.35" customHeight="1">
      <c r="A15" s="42"/>
      <c r="B15" s="46"/>
      <c r="C15" s="48"/>
      <c r="D15" s="42"/>
      <c r="E15" s="38" t="s">
        <v>285</v>
      </c>
      <c r="F15" s="10"/>
      <c r="G15" s="10"/>
      <c r="H15" s="8"/>
      <c r="I15" s="10"/>
      <c r="J15" s="8"/>
      <c r="K15" s="10"/>
      <c r="L15" s="8"/>
      <c r="M15" s="10"/>
      <c r="N15" s="8"/>
      <c r="O15" s="12"/>
      <c r="P15" s="12"/>
      <c r="Q15" s="12"/>
      <c r="R15" s="8" t="e">
        <f t="shared" si="0"/>
        <v>#N/A</v>
      </c>
      <c r="S15" s="52" t="e">
        <f>RANK(R15,$R6:$R17,0)</f>
        <v>#N/A</v>
      </c>
      <c r="T15" s="47"/>
      <c r="U15" s="42"/>
      <c r="V15" s="42"/>
      <c r="W15" s="42"/>
      <c r="X15" s="42"/>
      <c r="Y15" s="56" t="e">
        <f>VLOOKUP(F15, Table286[#All], 2, 0)</f>
        <v>#N/A</v>
      </c>
      <c r="Z15" s="56" t="e">
        <f>VLOOKUP(G15, Table286[#All], 2, 0)</f>
        <v>#N/A</v>
      </c>
      <c r="AA15" s="56" t="e">
        <f>VLOOKUP(H15, Table286[#All], 2, 0)</f>
        <v>#N/A</v>
      </c>
      <c r="AB15" s="56" t="e">
        <f>VLOOKUP(I15, Table286[#All], 2, 0)</f>
        <v>#N/A</v>
      </c>
      <c r="AC15" s="56" t="e">
        <f>VLOOKUP(J15, Table286[#All], 2, 0)</f>
        <v>#N/A</v>
      </c>
      <c r="AD15" s="56" t="e">
        <f>VLOOKUP(K15, Table286[#All], 2, 0)</f>
        <v>#N/A</v>
      </c>
      <c r="AE15" s="56" t="e">
        <f>VLOOKUP(L15, Table286[#All], 2, 0)</f>
        <v>#N/A</v>
      </c>
      <c r="AF15" s="56" t="e">
        <f>VLOOKUP(M15, Table286[#All], 2, 0)</f>
        <v>#N/A</v>
      </c>
      <c r="AG15" s="56" t="e">
        <f>VLOOKUP(N15, Table286[#All], 2, 0)</f>
        <v>#N/A</v>
      </c>
      <c r="AH15" s="58"/>
      <c r="AI15" s="54" t="e">
        <f>1/AH16</f>
        <v>#N/A</v>
      </c>
      <c r="AJ15" s="54" t="e">
        <f>1/AH17</f>
        <v>#N/A</v>
      </c>
      <c r="AK15" s="55" t="e">
        <f t="shared" si="1"/>
        <v>#N/A</v>
      </c>
      <c r="AL15" s="42"/>
      <c r="AM15" s="42"/>
      <c r="AN15" s="42"/>
      <c r="AO15" s="42"/>
      <c r="AP15" s="42"/>
      <c r="AQ15" s="42"/>
      <c r="AR15" s="42"/>
      <c r="AS15" s="42"/>
      <c r="AT15" s="42"/>
      <c r="AU15" s="42"/>
      <c r="AV15" s="42"/>
      <c r="AW15" s="42"/>
      <c r="AX15" s="42"/>
      <c r="AY15" s="42"/>
      <c r="AZ15" s="42"/>
      <c r="BA15" s="42"/>
      <c r="BB15" s="42"/>
    </row>
    <row r="16" spans="1:54" s="43" customFormat="1" ht="46.9" customHeight="1" thickBot="1">
      <c r="A16" s="42"/>
      <c r="B16" s="46"/>
      <c r="C16" s="61"/>
      <c r="D16" s="42"/>
      <c r="E16" s="38" t="s">
        <v>286</v>
      </c>
      <c r="F16" s="8"/>
      <c r="G16" s="10"/>
      <c r="H16" s="10"/>
      <c r="I16" s="8"/>
      <c r="J16" s="8"/>
      <c r="K16" s="8"/>
      <c r="L16" s="10"/>
      <c r="M16" s="8"/>
      <c r="N16" s="8"/>
      <c r="O16" s="8"/>
      <c r="P16" s="12"/>
      <c r="Q16" s="12"/>
      <c r="R16" s="8" t="e">
        <f t="shared" si="0"/>
        <v>#N/A</v>
      </c>
      <c r="S16" s="52" t="e">
        <f>RANK(R16,$R6:$R17,0)</f>
        <v>#N/A</v>
      </c>
      <c r="T16" s="47"/>
      <c r="U16" s="42"/>
      <c r="V16" s="42"/>
      <c r="W16" s="42"/>
      <c r="X16" s="42"/>
      <c r="Y16" s="56" t="e">
        <f>VLOOKUP(F16, Table286[#All], 2, 0)</f>
        <v>#N/A</v>
      </c>
      <c r="Z16" s="56" t="e">
        <f>VLOOKUP(G16, Table286[#All], 2, 0)</f>
        <v>#N/A</v>
      </c>
      <c r="AA16" s="56" t="e">
        <f>VLOOKUP(H16, Table286[#All], 2, 0)</f>
        <v>#N/A</v>
      </c>
      <c r="AB16" s="56" t="e">
        <f>VLOOKUP(I16, Table286[#All], 2, 0)</f>
        <v>#N/A</v>
      </c>
      <c r="AC16" s="56" t="e">
        <f>VLOOKUP(J16, Table286[#All], 2, 0)</f>
        <v>#N/A</v>
      </c>
      <c r="AD16" s="56" t="e">
        <f>VLOOKUP(K16, Table286[#All], 2, 0)</f>
        <v>#N/A</v>
      </c>
      <c r="AE16" s="56" t="e">
        <f>VLOOKUP(L16, Table286[#All], 2, 0)</f>
        <v>#N/A</v>
      </c>
      <c r="AF16" s="56" t="e">
        <f>VLOOKUP(M16, Table286[#All], 2, 0)</f>
        <v>#N/A</v>
      </c>
      <c r="AG16" s="56" t="e">
        <f>VLOOKUP(N16, Table286[#All], 2, 0)</f>
        <v>#N/A</v>
      </c>
      <c r="AH16" s="56" t="e">
        <f>VLOOKUP(O16, Table286[#All], 2, 0)</f>
        <v>#N/A</v>
      </c>
      <c r="AI16" s="58"/>
      <c r="AJ16" s="54" t="e">
        <f>1/AI17</f>
        <v>#N/A</v>
      </c>
      <c r="AK16" s="55" t="e">
        <f t="shared" si="1"/>
        <v>#N/A</v>
      </c>
      <c r="AL16" s="42"/>
      <c r="AM16" s="42"/>
      <c r="AN16" s="42"/>
      <c r="AO16" s="42"/>
      <c r="AP16" s="42"/>
      <c r="AQ16" s="42"/>
      <c r="AR16" s="42"/>
      <c r="AS16" s="42"/>
      <c r="AT16" s="42"/>
      <c r="AU16" s="42"/>
      <c r="AV16" s="42"/>
      <c r="AW16" s="42"/>
      <c r="AX16" s="42"/>
      <c r="AY16" s="42"/>
      <c r="AZ16" s="42"/>
      <c r="BA16" s="42"/>
      <c r="BB16" s="42"/>
    </row>
    <row r="17" spans="1:54" s="43" customFormat="1" ht="55.5" customHeight="1" thickBot="1">
      <c r="A17" s="42"/>
      <c r="B17" s="46"/>
      <c r="C17" s="69"/>
      <c r="D17" s="42"/>
      <c r="E17" s="39" t="s">
        <v>287</v>
      </c>
      <c r="F17" s="13"/>
      <c r="G17" s="13"/>
      <c r="H17" s="13"/>
      <c r="I17" s="13"/>
      <c r="J17" s="13"/>
      <c r="K17" s="5"/>
      <c r="L17" s="5"/>
      <c r="M17" s="5"/>
      <c r="N17" s="5"/>
      <c r="O17" s="13"/>
      <c r="P17" s="13"/>
      <c r="Q17" s="6"/>
      <c r="R17" s="13" t="e">
        <f t="shared" si="0"/>
        <v>#N/A</v>
      </c>
      <c r="S17" s="57" t="e">
        <f>RANK(R17,$R6:$R17,0)</f>
        <v>#N/A</v>
      </c>
      <c r="T17" s="47"/>
      <c r="U17" s="42"/>
      <c r="V17" s="42"/>
      <c r="W17" s="42"/>
      <c r="X17" s="42"/>
      <c r="Y17" s="56" t="e">
        <f>VLOOKUP(F17, Table286[#All], 2, 0)</f>
        <v>#N/A</v>
      </c>
      <c r="Z17" s="56" t="e">
        <f>VLOOKUP(G17, Table286[#All], 2, 0)</f>
        <v>#N/A</v>
      </c>
      <c r="AA17" s="56" t="e">
        <f>VLOOKUP(H17, Table286[#All], 2, 0)</f>
        <v>#N/A</v>
      </c>
      <c r="AB17" s="56" t="e">
        <f>VLOOKUP(I17, Table286[#All], 2, 0)</f>
        <v>#N/A</v>
      </c>
      <c r="AC17" s="56" t="e">
        <f>VLOOKUP(J17, Table286[#All], 2, 0)</f>
        <v>#N/A</v>
      </c>
      <c r="AD17" s="56" t="e">
        <f>VLOOKUP(K17, Table286[#All], 2, 0)</f>
        <v>#N/A</v>
      </c>
      <c r="AE17" s="56" t="e">
        <f>VLOOKUP(L17, Table286[#All], 2, 0)</f>
        <v>#N/A</v>
      </c>
      <c r="AF17" s="56" t="e">
        <f>VLOOKUP(M17, Table286[#All], 2, 0)</f>
        <v>#N/A</v>
      </c>
      <c r="AG17" s="56" t="e">
        <f>VLOOKUP(N17, Table286[#All], 2, 0)</f>
        <v>#N/A</v>
      </c>
      <c r="AH17" s="56" t="e">
        <f>VLOOKUP(O17, Table286[#All], 2, 0)</f>
        <v>#N/A</v>
      </c>
      <c r="AI17" s="56" t="e">
        <f>VLOOKUP(P17, Table286[#All], 2, 0)</f>
        <v>#N/A</v>
      </c>
      <c r="AJ17" s="58"/>
      <c r="AK17" s="55" t="e">
        <f>SUM(Y17:AJ17)</f>
        <v>#N/A</v>
      </c>
      <c r="AL17" s="42"/>
      <c r="AM17" s="42"/>
      <c r="AN17" s="42"/>
      <c r="AO17" s="42"/>
      <c r="AP17" s="42"/>
      <c r="AQ17" s="42"/>
      <c r="AR17" s="42"/>
      <c r="AS17" s="42"/>
      <c r="AT17" s="42"/>
      <c r="AU17" s="42"/>
      <c r="AV17" s="42"/>
      <c r="AW17" s="42"/>
      <c r="AX17" s="42"/>
      <c r="AY17" s="42"/>
      <c r="AZ17" s="42"/>
      <c r="BA17" s="42"/>
      <c r="BB17" s="42"/>
    </row>
    <row r="18" spans="1:54" s="43" customFormat="1">
      <c r="A18" s="42"/>
      <c r="B18" s="46"/>
      <c r="C18" s="42"/>
      <c r="D18" s="42"/>
      <c r="E18" s="59"/>
      <c r="F18" s="31"/>
      <c r="G18" s="31"/>
      <c r="H18" s="31"/>
      <c r="I18" s="31"/>
      <c r="J18" s="31"/>
      <c r="K18" s="31"/>
      <c r="L18" s="31"/>
      <c r="M18" s="31"/>
      <c r="N18" s="31"/>
      <c r="O18" s="31"/>
      <c r="P18" s="31"/>
      <c r="Q18" s="31"/>
      <c r="R18" s="42"/>
      <c r="S18" s="42"/>
      <c r="T18" s="47"/>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row>
    <row r="19" spans="1:54" s="43" customFormat="1">
      <c r="A19" s="42"/>
      <c r="B19" s="46"/>
      <c r="C19" s="42"/>
      <c r="D19" s="42"/>
      <c r="E19" s="42"/>
      <c r="F19" s="31"/>
      <c r="G19" s="31"/>
      <c r="H19" s="31"/>
      <c r="I19" s="31"/>
      <c r="J19" s="31"/>
      <c r="K19" s="31"/>
      <c r="L19" s="31"/>
      <c r="M19" s="31"/>
      <c r="N19" s="31"/>
      <c r="O19" s="31"/>
      <c r="P19" s="31"/>
      <c r="Q19" s="31"/>
      <c r="R19" s="42"/>
      <c r="S19" s="42"/>
      <c r="T19" s="47"/>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row>
    <row r="20" spans="1:54" s="43" customFormat="1">
      <c r="A20" s="42"/>
      <c r="B20" s="46"/>
      <c r="C20" s="42"/>
      <c r="D20" s="42"/>
      <c r="E20" s="71"/>
      <c r="F20" s="31"/>
      <c r="G20" s="31"/>
      <c r="H20" s="31"/>
      <c r="I20" s="31"/>
      <c r="J20" s="31"/>
      <c r="K20" s="31"/>
      <c r="L20" s="31"/>
      <c r="M20" s="31"/>
      <c r="N20" s="31"/>
      <c r="O20" s="31"/>
      <c r="P20" s="31"/>
      <c r="Q20" s="31"/>
      <c r="R20" s="42"/>
      <c r="S20" s="42"/>
      <c r="T20" s="47"/>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row>
    <row r="21" spans="1:54" s="43" customFormat="1">
      <c r="A21" s="42"/>
      <c r="B21" s="46"/>
      <c r="C21" s="42"/>
      <c r="D21" s="42"/>
      <c r="E21" s="31"/>
      <c r="F21" s="31"/>
      <c r="G21" s="31"/>
      <c r="H21" s="31"/>
      <c r="I21" s="31"/>
      <c r="J21" s="31"/>
      <c r="K21" s="31"/>
      <c r="L21" s="31"/>
      <c r="M21" s="31"/>
      <c r="N21" s="31"/>
      <c r="O21" s="31"/>
      <c r="P21" s="31"/>
      <c r="Q21" s="31"/>
      <c r="R21" s="42"/>
      <c r="S21" s="42"/>
      <c r="T21" s="47"/>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row>
    <row r="22" spans="1:54" s="43" customFormat="1" ht="16.5" thickBot="1">
      <c r="A22" s="42"/>
      <c r="B22" s="62"/>
      <c r="C22" s="63"/>
      <c r="D22" s="63"/>
      <c r="E22" s="33"/>
      <c r="F22" s="33"/>
      <c r="G22" s="33"/>
      <c r="H22" s="33"/>
      <c r="I22" s="33"/>
      <c r="J22" s="33"/>
      <c r="K22" s="33"/>
      <c r="L22" s="33"/>
      <c r="M22" s="33"/>
      <c r="N22" s="33"/>
      <c r="O22" s="33"/>
      <c r="P22" s="33"/>
      <c r="Q22" s="33"/>
      <c r="R22" s="63"/>
      <c r="S22" s="63"/>
      <c r="T22" s="64"/>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row>
    <row r="23" spans="1:54" s="43" customFormat="1">
      <c r="A23" s="42"/>
      <c r="B23" s="42"/>
      <c r="C23" s="42"/>
      <c r="D23" s="42"/>
      <c r="E23" s="31"/>
      <c r="F23" s="31"/>
      <c r="G23" s="31"/>
      <c r="H23" s="31"/>
      <c r="I23" s="31"/>
      <c r="J23" s="31"/>
      <c r="K23" s="31"/>
      <c r="L23" s="31"/>
      <c r="M23" s="31"/>
      <c r="N23" s="31"/>
      <c r="O23" s="31"/>
      <c r="P23" s="31"/>
      <c r="Q23" s="31"/>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row>
    <row r="24" spans="1:54" s="43" customFormat="1">
      <c r="A24" s="42"/>
      <c r="B24" s="42"/>
      <c r="C24" s="42"/>
      <c r="D24" s="42"/>
      <c r="E24" s="31"/>
      <c r="F24" s="31"/>
      <c r="G24" s="31"/>
      <c r="H24" s="31"/>
      <c r="I24" s="31"/>
      <c r="J24" s="31"/>
      <c r="K24" s="31"/>
      <c r="L24" s="31"/>
      <c r="M24" s="31"/>
      <c r="N24" s="31"/>
      <c r="O24" s="31"/>
      <c r="P24" s="31"/>
      <c r="Q24" s="31"/>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row>
    <row r="25" spans="1:54" s="43" customFormat="1">
      <c r="A25" s="42"/>
      <c r="B25" s="42"/>
      <c r="C25" s="42"/>
      <c r="D25" s="42"/>
      <c r="E25" s="31"/>
      <c r="F25" s="31"/>
      <c r="G25" s="31"/>
      <c r="H25" s="31"/>
      <c r="I25" s="31"/>
      <c r="J25" s="31"/>
      <c r="K25" s="31"/>
      <c r="L25" s="31"/>
      <c r="M25" s="31"/>
      <c r="N25" s="31"/>
      <c r="O25" s="31"/>
      <c r="P25" s="31"/>
      <c r="Q25" s="31"/>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row>
    <row r="26" spans="1:54" s="43" customFormat="1">
      <c r="A26" s="42"/>
      <c r="B26" s="42"/>
      <c r="C26" s="42"/>
      <c r="D26" s="42"/>
      <c r="E26" s="31"/>
      <c r="F26" s="31"/>
      <c r="G26" s="31"/>
      <c r="H26" s="31"/>
      <c r="I26" s="31"/>
      <c r="J26" s="31"/>
      <c r="K26" s="31"/>
      <c r="L26" s="31"/>
      <c r="M26" s="31"/>
      <c r="N26" s="31"/>
      <c r="O26" s="31"/>
      <c r="P26" s="31"/>
      <c r="Q26" s="31"/>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row>
    <row r="27" spans="1:54" s="43" customFormat="1">
      <c r="A27" s="42"/>
      <c r="B27" s="42"/>
      <c r="C27" s="42"/>
      <c r="D27" s="42"/>
      <c r="E27" s="31"/>
      <c r="F27" s="31"/>
      <c r="G27" s="31"/>
      <c r="H27" s="31"/>
      <c r="I27" s="31"/>
      <c r="J27" s="31"/>
      <c r="K27" s="31"/>
      <c r="L27" s="31"/>
      <c r="M27" s="31"/>
      <c r="N27" s="31"/>
      <c r="O27" s="31"/>
      <c r="P27" s="31"/>
      <c r="Q27" s="31"/>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row>
    <row r="28" spans="1:54" s="43" customFormat="1">
      <c r="A28" s="42"/>
      <c r="B28" s="42"/>
      <c r="C28" s="42"/>
      <c r="D28" s="42"/>
      <c r="E28" s="31"/>
      <c r="F28" s="31"/>
      <c r="G28" s="31"/>
      <c r="H28" s="31"/>
      <c r="I28" s="31"/>
      <c r="J28" s="31"/>
      <c r="K28" s="31"/>
      <c r="L28" s="31"/>
      <c r="M28" s="31"/>
      <c r="N28" s="31"/>
      <c r="O28" s="31"/>
      <c r="P28" s="31"/>
      <c r="Q28" s="31"/>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row>
    <row r="29" spans="1:54" s="43" customFormat="1">
      <c r="A29" s="42"/>
      <c r="B29" s="42"/>
      <c r="C29" s="42"/>
      <c r="D29" s="42"/>
      <c r="E29" s="31"/>
      <c r="F29" s="31"/>
      <c r="G29" s="31"/>
      <c r="H29" s="31"/>
      <c r="I29" s="31"/>
      <c r="J29" s="31"/>
      <c r="K29" s="31"/>
      <c r="L29" s="31"/>
      <c r="M29" s="31"/>
      <c r="N29" s="31"/>
      <c r="O29" s="31"/>
      <c r="P29" s="31"/>
      <c r="Q29" s="31"/>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row>
    <row r="30" spans="1:54" s="43" customFormat="1">
      <c r="A30" s="42"/>
      <c r="B30" s="42"/>
      <c r="C30" s="42"/>
      <c r="D30" s="42"/>
      <c r="E30" s="31"/>
      <c r="F30" s="31"/>
      <c r="G30" s="31"/>
      <c r="H30" s="31"/>
      <c r="I30" s="31"/>
      <c r="J30" s="31"/>
      <c r="K30" s="31"/>
      <c r="L30" s="31"/>
      <c r="M30" s="31"/>
      <c r="N30" s="31"/>
      <c r="O30" s="31"/>
      <c r="P30" s="31"/>
      <c r="Q30" s="31"/>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row>
    <row r="31" spans="1:54" s="43" customFormat="1">
      <c r="A31" s="42"/>
      <c r="B31" s="42"/>
      <c r="C31" s="42"/>
      <c r="D31" s="42"/>
      <c r="E31" s="31"/>
      <c r="F31" s="31"/>
      <c r="G31" s="31"/>
      <c r="H31" s="31"/>
      <c r="I31" s="31"/>
      <c r="J31" s="31"/>
      <c r="K31" s="31"/>
      <c r="L31" s="31"/>
      <c r="M31" s="31"/>
      <c r="N31" s="31"/>
      <c r="O31" s="31"/>
      <c r="P31" s="31"/>
      <c r="Q31" s="31"/>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row>
    <row r="32" spans="1:54" s="43" customFormat="1">
      <c r="A32" s="42"/>
      <c r="B32" s="42"/>
      <c r="C32" s="42"/>
      <c r="D32" s="42"/>
      <c r="E32" s="31"/>
      <c r="F32" s="31"/>
      <c r="G32" s="31"/>
      <c r="H32" s="31"/>
      <c r="I32" s="31"/>
      <c r="J32" s="31"/>
      <c r="K32" s="31"/>
      <c r="L32" s="31"/>
      <c r="M32" s="31"/>
      <c r="N32" s="31"/>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row>
    <row r="33" spans="1:54" s="43" customFormat="1">
      <c r="A33" s="42"/>
      <c r="B33" s="42"/>
      <c r="C33" s="42"/>
      <c r="D33" s="42"/>
      <c r="E33" s="31"/>
      <c r="F33" s="31"/>
      <c r="G33" s="31"/>
      <c r="H33" s="31"/>
      <c r="I33" s="31"/>
      <c r="J33" s="31"/>
      <c r="K33" s="31"/>
      <c r="L33" s="31"/>
      <c r="M33" s="31"/>
      <c r="N33" s="31"/>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row>
    <row r="34" spans="1:54" s="43" customFormat="1">
      <c r="A34" s="42"/>
      <c r="B34" s="42"/>
      <c r="C34" s="42"/>
      <c r="D34" s="42"/>
      <c r="E34" s="31"/>
      <c r="F34" s="31"/>
      <c r="G34" s="31"/>
      <c r="H34" s="31"/>
      <c r="I34" s="31"/>
      <c r="J34" s="31"/>
      <c r="K34" s="31"/>
      <c r="L34" s="31"/>
      <c r="M34" s="31"/>
      <c r="N34" s="31"/>
      <c r="O34" s="31"/>
      <c r="P34" s="31"/>
      <c r="Q34" s="31"/>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row>
    <row r="35" spans="1:54" s="43" customFormat="1">
      <c r="A35" s="42"/>
      <c r="B35" s="42"/>
      <c r="C35" s="42"/>
      <c r="D35" s="42"/>
      <c r="E35" s="31"/>
      <c r="F35" s="31"/>
      <c r="G35" s="31"/>
      <c r="H35" s="31"/>
      <c r="I35" s="31"/>
      <c r="J35" s="31"/>
      <c r="K35" s="31"/>
      <c r="L35" s="31"/>
      <c r="M35" s="31"/>
      <c r="N35" s="31"/>
      <c r="O35" s="31"/>
      <c r="P35" s="31"/>
      <c r="Q35" s="31"/>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row>
    <row r="36" spans="1:54" s="43" customFormat="1">
      <c r="A36" s="42"/>
      <c r="B36" s="42"/>
      <c r="C36" s="42"/>
      <c r="D36" s="42"/>
      <c r="E36" s="31"/>
      <c r="F36" s="31"/>
      <c r="G36" s="31"/>
      <c r="H36" s="31"/>
      <c r="I36" s="31"/>
      <c r="J36" s="31"/>
      <c r="K36" s="31"/>
      <c r="L36" s="31"/>
      <c r="M36" s="31"/>
      <c r="N36" s="31"/>
      <c r="O36" s="31"/>
      <c r="P36" s="31"/>
      <c r="Q36" s="31"/>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row>
    <row r="37" spans="1:54" s="60" customFormat="1">
      <c r="A37" s="42"/>
      <c r="B37" s="42"/>
      <c r="C37" s="42"/>
      <c r="D37" s="42"/>
      <c r="E37" s="31"/>
      <c r="F37" s="31"/>
      <c r="G37" s="31"/>
      <c r="H37" s="31"/>
      <c r="I37" s="31"/>
      <c r="J37" s="31"/>
      <c r="K37" s="31"/>
      <c r="L37" s="31"/>
      <c r="M37" s="31"/>
      <c r="N37" s="31"/>
      <c r="O37" s="31"/>
      <c r="P37" s="31"/>
      <c r="Q37" s="31"/>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row>
    <row r="43" spans="1:54">
      <c r="E43" s="42"/>
    </row>
  </sheetData>
  <mergeCells count="2">
    <mergeCell ref="C2:S2"/>
    <mergeCell ref="E4:S4"/>
  </mergeCells>
  <dataValidations count="1">
    <dataValidation type="list" allowBlank="1" showInputMessage="1" showErrorMessage="1" sqref="J11:J17 F7:F17 K12:K17 L13:L17 I10:I17 M14:M16 N15:N16 O16 G8:G17 M17:P17 H9:H17" xr:uid="{040DD1E8-6E77-4D8D-9AD5-2C1518C03FA8}">
      <formula1>Scale</formula1>
    </dataValidation>
  </dataValidations>
  <pageMargins left="0.7" right="0.7" top="0.75" bottom="0.75" header="0.3" footer="0.3"/>
  <pageSetup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3F3C-C740-4275-B113-2762EDCA2A7E}">
  <dimension ref="A1:BH43"/>
  <sheetViews>
    <sheetView zoomScale="43" zoomScaleNormal="50" workbookViewId="0">
      <selection activeCell="F17" sqref="F17"/>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20" width="10.625" style="31" customWidth="1"/>
    <col min="21" max="22" width="10.625" style="42" customWidth="1"/>
    <col min="23" max="24" width="3.375" style="42" customWidth="1"/>
    <col min="25" max="25" width="20" style="42" hidden="1" customWidth="1"/>
    <col min="26" max="26" width="11.625" style="42" hidden="1" customWidth="1"/>
    <col min="27" max="27" width="10.875" style="42" hidden="1" customWidth="1"/>
    <col min="28" max="43" width="5.125" style="42" hidden="1" customWidth="1"/>
    <col min="44" max="16384" width="10.875" style="42"/>
  </cols>
  <sheetData>
    <row r="1" spans="1:60" s="43" customFormat="1" ht="16.5" thickBot="1">
      <c r="A1" s="42"/>
      <c r="B1" s="42"/>
      <c r="C1" s="42"/>
      <c r="D1" s="42"/>
      <c r="E1" s="31"/>
      <c r="F1" s="31"/>
      <c r="G1" s="31"/>
      <c r="H1" s="31"/>
      <c r="I1" s="31"/>
      <c r="J1" s="31"/>
      <c r="K1" s="31"/>
      <c r="L1" s="31"/>
      <c r="M1" s="31"/>
      <c r="N1" s="31"/>
      <c r="O1" s="31"/>
      <c r="P1" s="31"/>
      <c r="Q1" s="31"/>
      <c r="R1" s="31"/>
      <c r="S1" s="31"/>
      <c r="T1" s="31"/>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row>
    <row r="2" spans="1:60" s="43" customFormat="1" ht="26.25">
      <c r="A2" s="42"/>
      <c r="B2" s="44"/>
      <c r="C2" s="96" t="s">
        <v>60</v>
      </c>
      <c r="D2" s="96"/>
      <c r="E2" s="96"/>
      <c r="F2" s="96"/>
      <c r="G2" s="96"/>
      <c r="H2" s="96"/>
      <c r="I2" s="96"/>
      <c r="J2" s="96"/>
      <c r="K2" s="96"/>
      <c r="L2" s="96"/>
      <c r="M2" s="96"/>
      <c r="N2" s="96"/>
      <c r="O2" s="96"/>
      <c r="P2" s="96"/>
      <c r="Q2" s="96"/>
      <c r="R2" s="96"/>
      <c r="S2" s="96"/>
      <c r="T2" s="96"/>
      <c r="U2" s="96"/>
      <c r="V2" s="96"/>
      <c r="W2" s="45"/>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row>
    <row r="3" spans="1:60" s="43" customFormat="1" ht="21.75" thickBot="1">
      <c r="A3" s="42"/>
      <c r="B3" s="46"/>
      <c r="C3" s="42"/>
      <c r="D3" s="42"/>
      <c r="E3" s="4"/>
      <c r="F3" s="4"/>
      <c r="G3" s="4"/>
      <c r="H3" s="4"/>
      <c r="I3" s="4"/>
      <c r="J3" s="4"/>
      <c r="K3" s="4"/>
      <c r="L3" s="4"/>
      <c r="M3" s="4"/>
      <c r="N3" s="4"/>
      <c r="O3" s="4"/>
      <c r="P3" s="4"/>
      <c r="Q3" s="4"/>
      <c r="R3" s="4"/>
      <c r="S3" s="4"/>
      <c r="T3" s="4"/>
      <c r="U3" s="4"/>
      <c r="V3" s="4"/>
      <c r="W3" s="47"/>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row>
    <row r="4" spans="1:60" s="43" customFormat="1" ht="21.75" thickBot="1">
      <c r="A4" s="42"/>
      <c r="B4" s="46"/>
      <c r="C4" s="3" t="s">
        <v>11</v>
      </c>
      <c r="D4" s="4"/>
      <c r="E4" s="100" t="s">
        <v>12</v>
      </c>
      <c r="F4" s="101"/>
      <c r="G4" s="101"/>
      <c r="H4" s="101"/>
      <c r="I4" s="101"/>
      <c r="J4" s="101"/>
      <c r="K4" s="101"/>
      <c r="L4" s="101"/>
      <c r="M4" s="101"/>
      <c r="N4" s="101"/>
      <c r="O4" s="101"/>
      <c r="P4" s="101"/>
      <c r="Q4" s="101"/>
      <c r="R4" s="101"/>
      <c r="S4" s="101"/>
      <c r="T4" s="101"/>
      <c r="U4" s="101"/>
      <c r="V4" s="102"/>
      <c r="W4" s="47"/>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row>
    <row r="5" spans="1:60" s="43" customFormat="1">
      <c r="A5" s="42"/>
      <c r="B5" s="46"/>
      <c r="C5" s="74"/>
      <c r="D5" s="42"/>
      <c r="E5" s="75" t="s">
        <v>13</v>
      </c>
      <c r="F5" s="32" t="s">
        <v>288</v>
      </c>
      <c r="G5" s="32" t="s">
        <v>61</v>
      </c>
      <c r="H5" s="32" t="s">
        <v>290</v>
      </c>
      <c r="I5" s="32" t="s">
        <v>62</v>
      </c>
      <c r="J5" s="32" t="s">
        <v>295</v>
      </c>
      <c r="K5" s="32" t="s">
        <v>296</v>
      </c>
      <c r="L5" s="32" t="s">
        <v>63</v>
      </c>
      <c r="M5" s="32" t="s">
        <v>64</v>
      </c>
      <c r="N5" s="32" t="s">
        <v>65</v>
      </c>
      <c r="O5" s="32" t="s">
        <v>66</v>
      </c>
      <c r="P5" s="32" t="s">
        <v>67</v>
      </c>
      <c r="Q5" s="32" t="s">
        <v>302</v>
      </c>
      <c r="R5" s="32" t="s">
        <v>303</v>
      </c>
      <c r="S5" s="32" t="s">
        <v>68</v>
      </c>
      <c r="T5" s="32" t="s">
        <v>69</v>
      </c>
      <c r="U5" s="32" t="s">
        <v>14</v>
      </c>
      <c r="V5" s="76" t="s">
        <v>15</v>
      </c>
      <c r="W5" s="47"/>
      <c r="X5" s="42"/>
      <c r="Y5" s="42" t="s">
        <v>16</v>
      </c>
      <c r="Z5" s="42" t="s">
        <v>17</v>
      </c>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row>
    <row r="6" spans="1:60" s="43" customFormat="1" ht="39.950000000000003" customHeight="1">
      <c r="A6" s="42"/>
      <c r="B6" s="46"/>
      <c r="C6" s="48"/>
      <c r="D6" s="42"/>
      <c r="E6" s="37" t="s">
        <v>291</v>
      </c>
      <c r="F6" s="9"/>
      <c r="G6" s="9"/>
      <c r="H6" s="9" t="s">
        <v>289</v>
      </c>
      <c r="I6" s="9"/>
      <c r="J6" s="9"/>
      <c r="K6" s="9"/>
      <c r="L6" s="9"/>
      <c r="M6" s="9"/>
      <c r="N6" s="9"/>
      <c r="O6" s="9"/>
      <c r="P6" s="9"/>
      <c r="Q6" s="9"/>
      <c r="R6" s="9"/>
      <c r="S6" s="9"/>
      <c r="T6" s="9"/>
      <c r="U6" s="8" t="e">
        <f t="shared" ref="U6:U20" si="0">AQ6</f>
        <v>#N/A</v>
      </c>
      <c r="V6" s="52" t="e">
        <f>RANK(U6,$U6:$U20,0)</f>
        <v>#N/A</v>
      </c>
      <c r="W6" s="47"/>
      <c r="X6" s="42"/>
      <c r="Y6" s="42" t="s">
        <v>18</v>
      </c>
      <c r="Z6" s="42">
        <v>10</v>
      </c>
      <c r="AA6" s="42"/>
      <c r="AB6" s="53"/>
      <c r="AC6" s="54" t="e">
        <f>1/AB7</f>
        <v>#N/A</v>
      </c>
      <c r="AD6" s="54" t="e">
        <f>1/AB8</f>
        <v>#N/A</v>
      </c>
      <c r="AE6" s="54" t="e">
        <f>1/AB9</f>
        <v>#N/A</v>
      </c>
      <c r="AF6" s="54" t="e">
        <f>1/AB10</f>
        <v>#N/A</v>
      </c>
      <c r="AG6" s="54" t="e">
        <f>1/AB11</f>
        <v>#N/A</v>
      </c>
      <c r="AH6" s="54" t="e">
        <f>1/AB12</f>
        <v>#N/A</v>
      </c>
      <c r="AI6" s="54" t="e">
        <f>1/AB13</f>
        <v>#N/A</v>
      </c>
      <c r="AJ6" s="54" t="e">
        <f>1/AB14</f>
        <v>#N/A</v>
      </c>
      <c r="AK6" s="54" t="e">
        <f>1/AB15</f>
        <v>#N/A</v>
      </c>
      <c r="AL6" s="54" t="e">
        <f>1/AB16</f>
        <v>#N/A</v>
      </c>
      <c r="AM6" s="54" t="e">
        <f>1/AB17</f>
        <v>#N/A</v>
      </c>
      <c r="AN6" s="54" t="e">
        <f>1/AB18</f>
        <v>#N/A</v>
      </c>
      <c r="AO6" s="54" t="e">
        <f>1/AB19</f>
        <v>#N/A</v>
      </c>
      <c r="AP6" s="54" t="e">
        <f>1/AB20</f>
        <v>#N/A</v>
      </c>
      <c r="AQ6" s="55" t="e">
        <f t="shared" ref="AQ6:AQ20" si="1">SUM(AB6:AP6)</f>
        <v>#N/A</v>
      </c>
      <c r="AR6" s="42"/>
      <c r="AS6" s="42"/>
      <c r="AT6" s="42"/>
      <c r="AU6" s="42"/>
      <c r="AV6" s="42"/>
      <c r="AW6" s="42"/>
      <c r="AX6" s="42"/>
      <c r="AY6" s="42"/>
      <c r="AZ6" s="42"/>
      <c r="BA6" s="42"/>
      <c r="BB6" s="42"/>
      <c r="BC6" s="42"/>
      <c r="BD6" s="42"/>
      <c r="BE6" s="42"/>
      <c r="BF6" s="42"/>
      <c r="BG6" s="42"/>
      <c r="BH6" s="42"/>
    </row>
    <row r="7" spans="1:60" s="43" customFormat="1" ht="39.950000000000003" customHeight="1">
      <c r="A7" s="42"/>
      <c r="B7" s="46"/>
      <c r="C7" s="48"/>
      <c r="D7" s="42"/>
      <c r="E7" s="37" t="s">
        <v>292</v>
      </c>
      <c r="F7" s="8"/>
      <c r="G7" s="9"/>
      <c r="H7" s="9"/>
      <c r="I7" s="9"/>
      <c r="J7" s="9"/>
      <c r="K7" s="9"/>
      <c r="L7" s="9"/>
      <c r="M7" s="9"/>
      <c r="N7" s="9"/>
      <c r="O7" s="9"/>
      <c r="P7" s="9"/>
      <c r="Q7" s="9"/>
      <c r="R7" s="9"/>
      <c r="S7" s="9"/>
      <c r="T7" s="9"/>
      <c r="U7" s="8" t="e">
        <f t="shared" si="0"/>
        <v>#N/A</v>
      </c>
      <c r="V7" s="52" t="e">
        <f>RANK(U7,$U6:$U20,0)</f>
        <v>#N/A</v>
      </c>
      <c r="W7" s="47"/>
      <c r="X7" s="42"/>
      <c r="Y7" s="42" t="s">
        <v>19</v>
      </c>
      <c r="Z7" s="42">
        <v>5</v>
      </c>
      <c r="AA7" s="42"/>
      <c r="AB7" s="56" t="e">
        <f>VLOOKUP(F7, Table2837[#All], 2, 0)</f>
        <v>#N/A</v>
      </c>
      <c r="AC7" s="53"/>
      <c r="AD7" s="54" t="e">
        <f>1/AC8</f>
        <v>#N/A</v>
      </c>
      <c r="AE7" s="54" t="e">
        <f>1/AC9</f>
        <v>#N/A</v>
      </c>
      <c r="AF7" s="54" t="e">
        <f>1/AC10</f>
        <v>#N/A</v>
      </c>
      <c r="AG7" s="54" t="e">
        <f>1/AC11</f>
        <v>#N/A</v>
      </c>
      <c r="AH7" s="54" t="e">
        <f>1/AC12</f>
        <v>#N/A</v>
      </c>
      <c r="AI7" s="54" t="e">
        <f>1/AC13</f>
        <v>#N/A</v>
      </c>
      <c r="AJ7" s="54" t="e">
        <f>1/AC14</f>
        <v>#N/A</v>
      </c>
      <c r="AK7" s="54" t="e">
        <f>1/AC15</f>
        <v>#N/A</v>
      </c>
      <c r="AL7" s="54" t="e">
        <f>1/AC16</f>
        <v>#N/A</v>
      </c>
      <c r="AM7" s="54" t="e">
        <f>1/AC17</f>
        <v>#N/A</v>
      </c>
      <c r="AN7" s="54" t="e">
        <f>1/AC18</f>
        <v>#N/A</v>
      </c>
      <c r="AO7" s="54" t="e">
        <f>1/AC19</f>
        <v>#N/A</v>
      </c>
      <c r="AP7" s="54" t="e">
        <f>1/AC20</f>
        <v>#N/A</v>
      </c>
      <c r="AQ7" s="55" t="e">
        <f t="shared" si="1"/>
        <v>#N/A</v>
      </c>
      <c r="AR7" s="42"/>
      <c r="AS7" s="42"/>
      <c r="AT7" s="42"/>
      <c r="AU7" s="42"/>
      <c r="AV7" s="42"/>
      <c r="AW7" s="42"/>
      <c r="AX7" s="42"/>
      <c r="AY7" s="42"/>
      <c r="AZ7" s="42"/>
      <c r="BA7" s="42"/>
      <c r="BB7" s="42"/>
      <c r="BC7" s="42"/>
      <c r="BD7" s="42"/>
      <c r="BE7" s="42"/>
      <c r="BF7" s="42"/>
      <c r="BG7" s="42"/>
      <c r="BH7" s="42"/>
    </row>
    <row r="8" spans="1:60" s="43" customFormat="1" ht="54.95" customHeight="1">
      <c r="A8" s="42"/>
      <c r="B8" s="46"/>
      <c r="C8" s="48"/>
      <c r="D8" s="42"/>
      <c r="E8" s="38" t="s">
        <v>293</v>
      </c>
      <c r="F8" s="8"/>
      <c r="G8" s="8"/>
      <c r="H8" s="9"/>
      <c r="I8" s="9"/>
      <c r="J8" s="9"/>
      <c r="K8" s="9"/>
      <c r="L8" s="9"/>
      <c r="M8" s="9"/>
      <c r="N8" s="9"/>
      <c r="O8" s="9"/>
      <c r="P8" s="9"/>
      <c r="Q8" s="9"/>
      <c r="R8" s="9"/>
      <c r="S8" s="9"/>
      <c r="T8" s="9"/>
      <c r="U8" s="8" t="e">
        <f t="shared" si="0"/>
        <v>#N/A</v>
      </c>
      <c r="V8" s="52" t="e">
        <f>RANK(U8,$U6:$U20,0)</f>
        <v>#N/A</v>
      </c>
      <c r="W8" s="47"/>
      <c r="X8" s="42"/>
      <c r="Y8" s="42" t="s">
        <v>20</v>
      </c>
      <c r="Z8" s="42">
        <v>1</v>
      </c>
      <c r="AA8" s="42"/>
      <c r="AB8" s="56" t="e">
        <f>VLOOKUP(F8, Table2837[#All], 2, 0)</f>
        <v>#N/A</v>
      </c>
      <c r="AC8" s="56" t="e">
        <f>VLOOKUP(G8, Table2837[#All], 2, 0)</f>
        <v>#N/A</v>
      </c>
      <c r="AD8" s="53"/>
      <c r="AE8" s="54" t="e">
        <f>1/AD9</f>
        <v>#N/A</v>
      </c>
      <c r="AF8" s="54" t="e">
        <f>1/AD10</f>
        <v>#N/A</v>
      </c>
      <c r="AG8" s="54" t="e">
        <f>1/AD11</f>
        <v>#N/A</v>
      </c>
      <c r="AH8" s="54" t="e">
        <f>1/AD12</f>
        <v>#N/A</v>
      </c>
      <c r="AI8" s="54" t="e">
        <f>1/AD13</f>
        <v>#N/A</v>
      </c>
      <c r="AJ8" s="54" t="e">
        <f>1/AD14</f>
        <v>#N/A</v>
      </c>
      <c r="AK8" s="54" t="e">
        <f>1/AD15</f>
        <v>#N/A</v>
      </c>
      <c r="AL8" s="54" t="e">
        <f>1/AD16</f>
        <v>#N/A</v>
      </c>
      <c r="AM8" s="54" t="e">
        <f>1/AD17</f>
        <v>#N/A</v>
      </c>
      <c r="AN8" s="54" t="e">
        <f>1/AD18</f>
        <v>#N/A</v>
      </c>
      <c r="AO8" s="54" t="e">
        <f>1/AD19</f>
        <v>#N/A</v>
      </c>
      <c r="AP8" s="54" t="e">
        <f>1/AD20</f>
        <v>#N/A</v>
      </c>
      <c r="AQ8" s="55" t="e">
        <f t="shared" si="1"/>
        <v>#N/A</v>
      </c>
      <c r="AR8" s="42"/>
      <c r="AS8" s="42"/>
      <c r="AT8" s="42"/>
      <c r="AU8" s="42"/>
      <c r="AV8" s="42"/>
      <c r="AW8" s="42"/>
      <c r="AX8" s="42"/>
      <c r="AY8" s="42"/>
      <c r="AZ8" s="42"/>
      <c r="BA8" s="42"/>
      <c r="BB8" s="42"/>
      <c r="BC8" s="42"/>
      <c r="BD8" s="42"/>
      <c r="BE8" s="42"/>
      <c r="BF8" s="42"/>
      <c r="BG8" s="42"/>
      <c r="BH8" s="42"/>
    </row>
    <row r="9" spans="1:60" s="43" customFormat="1" ht="56.45" customHeight="1">
      <c r="A9" s="42"/>
      <c r="B9" s="46"/>
      <c r="C9" s="48"/>
      <c r="D9" s="42"/>
      <c r="E9" s="38" t="s">
        <v>294</v>
      </c>
      <c r="F9" s="8"/>
      <c r="G9" s="8"/>
      <c r="H9" s="10"/>
      <c r="I9" s="9"/>
      <c r="J9" s="9"/>
      <c r="K9" s="9"/>
      <c r="L9" s="9"/>
      <c r="M9" s="9"/>
      <c r="N9" s="9"/>
      <c r="O9" s="9"/>
      <c r="P9" s="9"/>
      <c r="Q9" s="9"/>
      <c r="R9" s="9"/>
      <c r="S9" s="9"/>
      <c r="T9" s="9"/>
      <c r="U9" s="8" t="e">
        <f t="shared" si="0"/>
        <v>#N/A</v>
      </c>
      <c r="V9" s="52" t="e">
        <f>RANK(U9,$U6:$U20,0)</f>
        <v>#N/A</v>
      </c>
      <c r="W9" s="47"/>
      <c r="X9" s="42"/>
      <c r="Y9" s="42" t="s">
        <v>21</v>
      </c>
      <c r="Z9" s="42">
        <v>0.2</v>
      </c>
      <c r="AA9" s="42"/>
      <c r="AB9" s="56" t="e">
        <f>VLOOKUP(F9, Table2837[#All], 2, 0)</f>
        <v>#N/A</v>
      </c>
      <c r="AC9" s="56" t="e">
        <f>VLOOKUP(G9, Table2837[#All], 2, 0)</f>
        <v>#N/A</v>
      </c>
      <c r="AD9" s="56" t="e">
        <f>VLOOKUP(H9, Table2837[#All], 2, 0)</f>
        <v>#N/A</v>
      </c>
      <c r="AE9" s="53"/>
      <c r="AF9" s="54" t="e">
        <f>1/AE10</f>
        <v>#N/A</v>
      </c>
      <c r="AG9" s="54" t="e">
        <f>1/AE11</f>
        <v>#N/A</v>
      </c>
      <c r="AH9" s="54" t="e">
        <f>1/AE12</f>
        <v>#N/A</v>
      </c>
      <c r="AI9" s="54" t="e">
        <f>1/AE13</f>
        <v>#N/A</v>
      </c>
      <c r="AJ9" s="54" t="e">
        <f>1/AE14</f>
        <v>#N/A</v>
      </c>
      <c r="AK9" s="54" t="e">
        <f>1/AE15</f>
        <v>#N/A</v>
      </c>
      <c r="AL9" s="54" t="e">
        <f>1/AE16</f>
        <v>#N/A</v>
      </c>
      <c r="AM9" s="54" t="e">
        <f>1/AE17</f>
        <v>#N/A</v>
      </c>
      <c r="AN9" s="54" t="e">
        <f>1/AE18</f>
        <v>#N/A</v>
      </c>
      <c r="AO9" s="54" t="e">
        <f>1/AE19</f>
        <v>#N/A</v>
      </c>
      <c r="AP9" s="54" t="e">
        <f>1/AE20</f>
        <v>#N/A</v>
      </c>
      <c r="AQ9" s="55" t="e">
        <f t="shared" si="1"/>
        <v>#N/A</v>
      </c>
      <c r="AR9" s="42"/>
      <c r="AS9" s="42"/>
      <c r="AT9" s="42"/>
      <c r="AU9" s="42"/>
      <c r="AV9" s="42"/>
      <c r="AW9" s="42"/>
      <c r="AX9" s="42"/>
      <c r="AY9" s="42"/>
      <c r="AZ9" s="42"/>
      <c r="BA9" s="42"/>
      <c r="BB9" s="42"/>
      <c r="BC9" s="42"/>
      <c r="BD9" s="42"/>
      <c r="BE9" s="42"/>
      <c r="BF9" s="42"/>
      <c r="BG9" s="42"/>
      <c r="BH9" s="42"/>
    </row>
    <row r="10" spans="1:60" s="43" customFormat="1" ht="39.950000000000003" customHeight="1">
      <c r="A10" s="42"/>
      <c r="B10" s="46"/>
      <c r="C10" s="48"/>
      <c r="D10" s="42"/>
      <c r="E10" s="38" t="s">
        <v>297</v>
      </c>
      <c r="F10" s="10"/>
      <c r="G10" s="8"/>
      <c r="H10" s="8"/>
      <c r="I10" s="10"/>
      <c r="J10" s="11"/>
      <c r="K10" s="11"/>
      <c r="L10" s="11"/>
      <c r="M10" s="11"/>
      <c r="N10" s="11"/>
      <c r="O10" s="11"/>
      <c r="P10" s="11"/>
      <c r="Q10" s="11"/>
      <c r="R10" s="11"/>
      <c r="S10" s="11"/>
      <c r="T10" s="11"/>
      <c r="U10" s="8" t="e">
        <f t="shared" si="0"/>
        <v>#N/A</v>
      </c>
      <c r="V10" s="52" t="e">
        <f>RANK(U10,$U6:$U20,0)</f>
        <v>#N/A</v>
      </c>
      <c r="W10" s="47"/>
      <c r="X10" s="42"/>
      <c r="Y10" s="42" t="s">
        <v>22</v>
      </c>
      <c r="Z10" s="42">
        <v>0.1</v>
      </c>
      <c r="AA10" s="42"/>
      <c r="AB10" s="56" t="e">
        <f>VLOOKUP(F10, Table2837[#All], 2, 0)</f>
        <v>#N/A</v>
      </c>
      <c r="AC10" s="56" t="e">
        <f>VLOOKUP(G10, Table2837[#All], 2, 0)</f>
        <v>#N/A</v>
      </c>
      <c r="AD10" s="56" t="e">
        <f>VLOOKUP(H10, Table2837[#All], 2, 0)</f>
        <v>#N/A</v>
      </c>
      <c r="AE10" s="56" t="e">
        <f>VLOOKUP(I10, Table2837[#All], 2, 0)</f>
        <v>#N/A</v>
      </c>
      <c r="AF10" s="53"/>
      <c r="AG10" s="54" t="e">
        <f>1/AF11</f>
        <v>#N/A</v>
      </c>
      <c r="AH10" s="54" t="e">
        <f>1/AF12</f>
        <v>#N/A</v>
      </c>
      <c r="AI10" s="54" t="e">
        <f>1/AF13</f>
        <v>#N/A</v>
      </c>
      <c r="AJ10" s="54" t="e">
        <f>1/AF14</f>
        <v>#N/A</v>
      </c>
      <c r="AK10" s="54" t="e">
        <f>1/AF15</f>
        <v>#N/A</v>
      </c>
      <c r="AL10" s="54" t="e">
        <f>1/AF16</f>
        <v>#N/A</v>
      </c>
      <c r="AM10" s="54" t="e">
        <f>1/AF17</f>
        <v>#N/A</v>
      </c>
      <c r="AN10" s="54" t="e">
        <f>1/AF18</f>
        <v>#N/A</v>
      </c>
      <c r="AO10" s="54" t="e">
        <f>1/AF19</f>
        <v>#N/A</v>
      </c>
      <c r="AP10" s="54" t="e">
        <f>1/AF20</f>
        <v>#N/A</v>
      </c>
      <c r="AQ10" s="55" t="e">
        <f t="shared" si="1"/>
        <v>#N/A</v>
      </c>
      <c r="AR10" s="42"/>
      <c r="AS10" s="42"/>
      <c r="AT10" s="42"/>
      <c r="AU10" s="42"/>
      <c r="AV10" s="42"/>
      <c r="AW10" s="42"/>
      <c r="AX10" s="42"/>
      <c r="AY10" s="42"/>
      <c r="AZ10" s="42"/>
      <c r="BA10" s="42"/>
      <c r="BB10" s="42"/>
      <c r="BC10" s="42"/>
      <c r="BD10" s="42"/>
      <c r="BE10" s="42"/>
      <c r="BF10" s="42"/>
      <c r="BG10" s="42"/>
      <c r="BH10" s="42"/>
    </row>
    <row r="11" spans="1:60" s="43" customFormat="1" ht="39.950000000000003" customHeight="1">
      <c r="A11" s="42"/>
      <c r="B11" s="46"/>
      <c r="C11" s="48"/>
      <c r="D11" s="42"/>
      <c r="E11" s="38" t="s">
        <v>298</v>
      </c>
      <c r="F11" s="8"/>
      <c r="G11" s="8"/>
      <c r="H11" s="10"/>
      <c r="I11" s="8"/>
      <c r="J11" s="8"/>
      <c r="K11" s="11"/>
      <c r="L11" s="11"/>
      <c r="M11" s="11"/>
      <c r="N11" s="11"/>
      <c r="O11" s="11"/>
      <c r="P11" s="11"/>
      <c r="Q11" s="11"/>
      <c r="R11" s="11"/>
      <c r="S11" s="11"/>
      <c r="T11" s="11"/>
      <c r="U11" s="8" t="e">
        <f t="shared" si="0"/>
        <v>#N/A</v>
      </c>
      <c r="V11" s="52" t="e">
        <f>RANK(U11,$U6:$U20,0)</f>
        <v>#N/A</v>
      </c>
      <c r="W11" s="47"/>
      <c r="X11" s="42"/>
      <c r="Y11" s="42"/>
      <c r="Z11" s="42"/>
      <c r="AA11" s="42"/>
      <c r="AB11" s="56" t="e">
        <f>VLOOKUP(F11, Table2837[#All], 2, 0)</f>
        <v>#N/A</v>
      </c>
      <c r="AC11" s="56" t="e">
        <f>VLOOKUP(G11, Table2837[#All], 2, 0)</f>
        <v>#N/A</v>
      </c>
      <c r="AD11" s="56" t="e">
        <f>VLOOKUP(H11, Table2837[#All], 2, 0)</f>
        <v>#N/A</v>
      </c>
      <c r="AE11" s="56" t="e">
        <f>VLOOKUP(I11, Table2837[#All], 2, 0)</f>
        <v>#N/A</v>
      </c>
      <c r="AF11" s="56" t="e">
        <f>VLOOKUP(J11, Table2837[#All], 2, 0)</f>
        <v>#N/A</v>
      </c>
      <c r="AG11" s="53"/>
      <c r="AH11" s="54" t="e">
        <f>1/AG12</f>
        <v>#N/A</v>
      </c>
      <c r="AI11" s="54" t="e">
        <f>1/AG13</f>
        <v>#N/A</v>
      </c>
      <c r="AJ11" s="54" t="e">
        <f>1/AG14</f>
        <v>#N/A</v>
      </c>
      <c r="AK11" s="54" t="e">
        <f>1/AG15</f>
        <v>#N/A</v>
      </c>
      <c r="AL11" s="54" t="e">
        <f t="shared" ref="AL11" si="2">1/AG16</f>
        <v>#N/A</v>
      </c>
      <c r="AM11" s="54" t="e">
        <f>1/AG17</f>
        <v>#N/A</v>
      </c>
      <c r="AN11" s="54" t="e">
        <f>1/AG18</f>
        <v>#N/A</v>
      </c>
      <c r="AO11" s="54" t="e">
        <f>1/AG19</f>
        <v>#N/A</v>
      </c>
      <c r="AP11" s="54" t="e">
        <f>1/AG20</f>
        <v>#N/A</v>
      </c>
      <c r="AQ11" s="55" t="e">
        <f t="shared" si="1"/>
        <v>#N/A</v>
      </c>
      <c r="AR11" s="42"/>
      <c r="AS11" s="42"/>
      <c r="AT11" s="42"/>
      <c r="AU11" s="42"/>
      <c r="AV11" s="42"/>
      <c r="AW11" s="42"/>
      <c r="AX11" s="42"/>
      <c r="AY11" s="42"/>
      <c r="AZ11" s="42"/>
      <c r="BA11" s="42"/>
      <c r="BB11" s="42"/>
      <c r="BC11" s="42"/>
      <c r="BD11" s="42"/>
      <c r="BE11" s="42"/>
      <c r="BF11" s="42"/>
      <c r="BG11" s="42"/>
      <c r="BH11" s="42"/>
    </row>
    <row r="12" spans="1:60" s="43" customFormat="1" ht="56.45" customHeight="1">
      <c r="A12" s="42"/>
      <c r="B12" s="46"/>
      <c r="C12" s="48"/>
      <c r="D12" s="42"/>
      <c r="E12" s="38" t="s">
        <v>299</v>
      </c>
      <c r="F12" s="10"/>
      <c r="G12" s="8"/>
      <c r="H12" s="8"/>
      <c r="I12" s="8"/>
      <c r="J12" s="8"/>
      <c r="K12" s="8"/>
      <c r="L12" s="11"/>
      <c r="M12" s="11"/>
      <c r="N12" s="11"/>
      <c r="O12" s="11"/>
      <c r="P12" s="11"/>
      <c r="Q12" s="11"/>
      <c r="R12" s="11"/>
      <c r="S12" s="11"/>
      <c r="T12" s="11"/>
      <c r="U12" s="8" t="e">
        <f t="shared" si="0"/>
        <v>#N/A</v>
      </c>
      <c r="V12" s="52" t="e">
        <f>RANK(U12,$U6:$U20,0)</f>
        <v>#N/A</v>
      </c>
      <c r="W12" s="47"/>
      <c r="X12" s="42"/>
      <c r="Y12" s="42"/>
      <c r="Z12" s="42"/>
      <c r="AA12" s="42"/>
      <c r="AB12" s="56" t="e">
        <f>VLOOKUP(F12, Table2837[#All], 2, 0)</f>
        <v>#N/A</v>
      </c>
      <c r="AC12" s="56" t="e">
        <f>VLOOKUP(G12, Table2837[#All], 2, 0)</f>
        <v>#N/A</v>
      </c>
      <c r="AD12" s="56" t="e">
        <f>VLOOKUP(H12, Table2837[#All], 2, 0)</f>
        <v>#N/A</v>
      </c>
      <c r="AE12" s="56" t="e">
        <f>VLOOKUP(I12, Table2837[#All], 2, 0)</f>
        <v>#N/A</v>
      </c>
      <c r="AF12" s="56" t="e">
        <f>VLOOKUP(J12, Table2837[#All], 2, 0)</f>
        <v>#N/A</v>
      </c>
      <c r="AG12" s="56" t="e">
        <f>VLOOKUP(K12, Table2837[#All], 2, 0)</f>
        <v>#N/A</v>
      </c>
      <c r="AH12" s="53"/>
      <c r="AI12" s="54" t="e">
        <f>1/AH13</f>
        <v>#N/A</v>
      </c>
      <c r="AJ12" s="54" t="e">
        <f>1/AH14</f>
        <v>#N/A</v>
      </c>
      <c r="AK12" s="54" t="e">
        <f>1/AH15</f>
        <v>#N/A</v>
      </c>
      <c r="AL12" s="54" t="e">
        <f>1/AH16</f>
        <v>#N/A</v>
      </c>
      <c r="AM12" s="54" t="e">
        <f t="shared" ref="AM12" si="3">1/AH17</f>
        <v>#N/A</v>
      </c>
      <c r="AN12" s="54" t="e">
        <f>1/AH18</f>
        <v>#N/A</v>
      </c>
      <c r="AO12" s="54" t="e">
        <f>1/AH19</f>
        <v>#N/A</v>
      </c>
      <c r="AP12" s="54" t="e">
        <f>1/AH20</f>
        <v>#N/A</v>
      </c>
      <c r="AQ12" s="55" t="e">
        <f t="shared" si="1"/>
        <v>#N/A</v>
      </c>
      <c r="AR12" s="42"/>
      <c r="AS12" s="42"/>
      <c r="AT12" s="42"/>
      <c r="AU12" s="42"/>
      <c r="AV12" s="42"/>
      <c r="AW12" s="42"/>
      <c r="AX12" s="42"/>
      <c r="AY12" s="42"/>
      <c r="AZ12" s="42"/>
      <c r="BA12" s="42"/>
      <c r="BB12" s="42"/>
      <c r="BC12" s="42"/>
      <c r="BD12" s="42"/>
      <c r="BE12" s="42"/>
      <c r="BF12" s="42"/>
      <c r="BG12" s="42"/>
      <c r="BH12" s="42"/>
    </row>
    <row r="13" spans="1:60" s="43" customFormat="1" ht="39.950000000000003" customHeight="1">
      <c r="A13" s="42"/>
      <c r="B13" s="46"/>
      <c r="C13" s="48"/>
      <c r="D13" s="42"/>
      <c r="E13" s="38" t="s">
        <v>300</v>
      </c>
      <c r="F13" s="10"/>
      <c r="G13" s="10"/>
      <c r="H13" s="10"/>
      <c r="I13" s="8"/>
      <c r="J13" s="8"/>
      <c r="K13" s="10"/>
      <c r="L13" s="10"/>
      <c r="M13" s="12"/>
      <c r="N13" s="12"/>
      <c r="O13" s="12"/>
      <c r="P13" s="12"/>
      <c r="Q13" s="12"/>
      <c r="R13" s="12"/>
      <c r="S13" s="12"/>
      <c r="T13" s="12"/>
      <c r="U13" s="8" t="e">
        <f t="shared" si="0"/>
        <v>#N/A</v>
      </c>
      <c r="V13" s="52" t="e">
        <f>RANK(U13,$U6:$U20,0)</f>
        <v>#N/A</v>
      </c>
      <c r="W13" s="47"/>
      <c r="X13" s="42"/>
      <c r="Y13" s="42"/>
      <c r="Z13" s="42"/>
      <c r="AA13" s="42"/>
      <c r="AB13" s="56" t="e">
        <f>VLOOKUP(F13, Table2837[#All], 2, 0)</f>
        <v>#N/A</v>
      </c>
      <c r="AC13" s="56" t="e">
        <f>VLOOKUP(G13, Table2837[#All], 2, 0)</f>
        <v>#N/A</v>
      </c>
      <c r="AD13" s="56" t="e">
        <f>VLOOKUP(H13, Table2837[#All], 2, 0)</f>
        <v>#N/A</v>
      </c>
      <c r="AE13" s="56" t="e">
        <f>VLOOKUP(I13, Table2837[#All], 2, 0)</f>
        <v>#N/A</v>
      </c>
      <c r="AF13" s="56" t="e">
        <f>VLOOKUP(J13, Table2837[#All], 2, 0)</f>
        <v>#N/A</v>
      </c>
      <c r="AG13" s="56" t="e">
        <f>VLOOKUP(K13, Table2837[#All], 2, 0)</f>
        <v>#N/A</v>
      </c>
      <c r="AH13" s="56" t="e">
        <f>VLOOKUP(L13, Table2837[#All], 2, 0)</f>
        <v>#N/A</v>
      </c>
      <c r="AI13" s="66"/>
      <c r="AJ13" s="67" t="e">
        <f>1/AI14</f>
        <v>#N/A</v>
      </c>
      <c r="AK13" s="54" t="e">
        <f>1/AI15</f>
        <v>#N/A</v>
      </c>
      <c r="AL13" s="54" t="e">
        <f>1/AI16</f>
        <v>#N/A</v>
      </c>
      <c r="AM13" s="54" t="e">
        <f>1/AI17</f>
        <v>#N/A</v>
      </c>
      <c r="AN13" s="54" t="e">
        <f>1/AI18</f>
        <v>#N/A</v>
      </c>
      <c r="AO13" s="54" t="e">
        <f>1/AI19</f>
        <v>#N/A</v>
      </c>
      <c r="AP13" s="54" t="e">
        <f>1/AI20</f>
        <v>#N/A</v>
      </c>
      <c r="AQ13" s="55" t="e">
        <f t="shared" si="1"/>
        <v>#N/A</v>
      </c>
      <c r="AR13" s="42"/>
      <c r="AS13" s="42"/>
      <c r="AT13" s="42"/>
      <c r="AU13" s="42"/>
      <c r="AV13" s="42"/>
      <c r="AW13" s="42"/>
      <c r="AX13" s="42"/>
      <c r="AY13" s="42"/>
      <c r="AZ13" s="42"/>
      <c r="BA13" s="42"/>
      <c r="BB13" s="42"/>
      <c r="BC13" s="42"/>
      <c r="BD13" s="42"/>
      <c r="BE13" s="42"/>
      <c r="BF13" s="42"/>
      <c r="BG13" s="42"/>
      <c r="BH13" s="42"/>
    </row>
    <row r="14" spans="1:60" s="43" customFormat="1" ht="49.35" customHeight="1">
      <c r="A14" s="42"/>
      <c r="B14" s="46"/>
      <c r="C14" s="48"/>
      <c r="D14" s="42"/>
      <c r="E14" s="38" t="s">
        <v>301</v>
      </c>
      <c r="F14" s="8"/>
      <c r="G14" s="8"/>
      <c r="H14" s="10"/>
      <c r="I14" s="8"/>
      <c r="J14" s="8"/>
      <c r="K14" s="8"/>
      <c r="L14" s="10"/>
      <c r="M14" s="10"/>
      <c r="N14" s="12"/>
      <c r="O14" s="12"/>
      <c r="P14" s="12"/>
      <c r="Q14" s="12"/>
      <c r="R14" s="12"/>
      <c r="S14" s="12"/>
      <c r="T14" s="12"/>
      <c r="U14" s="8" t="e">
        <f t="shared" si="0"/>
        <v>#N/A</v>
      </c>
      <c r="V14" s="52" t="e">
        <f>RANK(U14,$U6:$U20,0)</f>
        <v>#N/A</v>
      </c>
      <c r="W14" s="47"/>
      <c r="X14" s="42"/>
      <c r="Y14" s="42"/>
      <c r="Z14" s="42"/>
      <c r="AA14" s="42"/>
      <c r="AB14" s="56" t="e">
        <f>VLOOKUP(F14, Table2837[#All], 2, 0)</f>
        <v>#N/A</v>
      </c>
      <c r="AC14" s="56" t="e">
        <f>VLOOKUP(G14, Table2837[#All], 2, 0)</f>
        <v>#N/A</v>
      </c>
      <c r="AD14" s="56" t="e">
        <f>VLOOKUP(H14, Table2837[#All], 2, 0)</f>
        <v>#N/A</v>
      </c>
      <c r="AE14" s="56" t="e">
        <f>VLOOKUP(I14, Table2837[#All], 2, 0)</f>
        <v>#N/A</v>
      </c>
      <c r="AF14" s="56" t="e">
        <f>VLOOKUP(J14, Table2837[#All], 2, 0)</f>
        <v>#N/A</v>
      </c>
      <c r="AG14" s="56" t="e">
        <f>VLOOKUP(K14, Table2837[#All], 2, 0)</f>
        <v>#N/A</v>
      </c>
      <c r="AH14" s="56" t="e">
        <f>VLOOKUP(L14, Table2837[#All], 2, 0)</f>
        <v>#N/A</v>
      </c>
      <c r="AI14" s="56" t="e">
        <f>VLOOKUP(M14, Table2837[#All], 2, 0)</f>
        <v>#N/A</v>
      </c>
      <c r="AJ14" s="66"/>
      <c r="AK14" s="54" t="e">
        <f>1/AJ15</f>
        <v>#N/A</v>
      </c>
      <c r="AL14" s="54" t="e">
        <f>1/AJ16</f>
        <v>#N/A</v>
      </c>
      <c r="AM14" s="54" t="e">
        <f>1/AJ17</f>
        <v>#N/A</v>
      </c>
      <c r="AN14" s="54" t="e">
        <f>1/AJ18</f>
        <v>#N/A</v>
      </c>
      <c r="AO14" s="54" t="e">
        <f>1/AJ19</f>
        <v>#N/A</v>
      </c>
      <c r="AP14" s="54" t="e">
        <f>1/AJ20</f>
        <v>#N/A</v>
      </c>
      <c r="AQ14" s="55" t="e">
        <f t="shared" si="1"/>
        <v>#N/A</v>
      </c>
      <c r="AR14" s="42"/>
      <c r="AS14" s="42"/>
      <c r="AT14" s="42"/>
      <c r="AU14" s="42"/>
      <c r="AV14" s="42"/>
      <c r="AW14" s="42"/>
      <c r="AX14" s="42"/>
      <c r="AY14" s="42"/>
      <c r="AZ14" s="42"/>
      <c r="BA14" s="42"/>
      <c r="BB14" s="42"/>
      <c r="BC14" s="42"/>
      <c r="BD14" s="42"/>
      <c r="BE14" s="42"/>
      <c r="BF14" s="42"/>
      <c r="BG14" s="42"/>
      <c r="BH14" s="42"/>
    </row>
    <row r="15" spans="1:60" s="43" customFormat="1" ht="49.5" customHeight="1">
      <c r="A15" s="42"/>
      <c r="B15" s="46"/>
      <c r="C15" s="48"/>
      <c r="D15" s="42"/>
      <c r="E15" s="38" t="s">
        <v>70</v>
      </c>
      <c r="F15" s="10"/>
      <c r="G15" s="10"/>
      <c r="H15" s="8"/>
      <c r="I15" s="10"/>
      <c r="J15" s="8"/>
      <c r="K15" s="10"/>
      <c r="L15" s="8"/>
      <c r="M15" s="10"/>
      <c r="N15" s="8"/>
      <c r="O15" s="12"/>
      <c r="P15" s="12"/>
      <c r="Q15" s="12"/>
      <c r="R15" s="12"/>
      <c r="S15" s="12"/>
      <c r="T15" s="12"/>
      <c r="U15" s="8" t="e">
        <f t="shared" si="0"/>
        <v>#N/A</v>
      </c>
      <c r="V15" s="52" t="e">
        <f>RANK(U15,$U6:$U20,0)</f>
        <v>#N/A</v>
      </c>
      <c r="W15" s="47"/>
      <c r="X15" s="42"/>
      <c r="Y15" s="42"/>
      <c r="Z15" s="42"/>
      <c r="AA15" s="42"/>
      <c r="AB15" s="56" t="e">
        <f>VLOOKUP(F15, Table2837[#All], 2, 0)</f>
        <v>#N/A</v>
      </c>
      <c r="AC15" s="56" t="e">
        <f>VLOOKUP(G15, Table2837[#All], 2, 0)</f>
        <v>#N/A</v>
      </c>
      <c r="AD15" s="56" t="e">
        <f>VLOOKUP(H15, Table2837[#All], 2, 0)</f>
        <v>#N/A</v>
      </c>
      <c r="AE15" s="56" t="e">
        <f>VLOOKUP(I15, Table2837[#All], 2, 0)</f>
        <v>#N/A</v>
      </c>
      <c r="AF15" s="56" t="e">
        <f>VLOOKUP(J15, Table2837[#All], 2, 0)</f>
        <v>#N/A</v>
      </c>
      <c r="AG15" s="56" t="e">
        <f>VLOOKUP(K15, Table2837[#All], 2, 0)</f>
        <v>#N/A</v>
      </c>
      <c r="AH15" s="56" t="e">
        <f>VLOOKUP(L15, Table2837[#All], 2, 0)</f>
        <v>#N/A</v>
      </c>
      <c r="AI15" s="56" t="e">
        <f>VLOOKUP(M15, Table2837[#All], 2, 0)</f>
        <v>#N/A</v>
      </c>
      <c r="AJ15" s="56" t="e">
        <f>VLOOKUP(N15, Table2837[#All], 2, 0)</f>
        <v>#N/A</v>
      </c>
      <c r="AK15" s="58"/>
      <c r="AL15" s="54" t="e">
        <f>1/AK16</f>
        <v>#N/A</v>
      </c>
      <c r="AM15" s="54" t="e">
        <f>1/AK17</f>
        <v>#N/A</v>
      </c>
      <c r="AN15" s="54" t="e">
        <f>1/AK18</f>
        <v>#N/A</v>
      </c>
      <c r="AO15" s="54" t="e">
        <f>1/AK19</f>
        <v>#N/A</v>
      </c>
      <c r="AP15" s="54" t="e">
        <f>1/AK20</f>
        <v>#N/A</v>
      </c>
      <c r="AQ15" s="55" t="e">
        <f t="shared" si="1"/>
        <v>#N/A</v>
      </c>
      <c r="AR15" s="42"/>
      <c r="AS15" s="42"/>
      <c r="AT15" s="42"/>
      <c r="AU15" s="42"/>
      <c r="AV15" s="42"/>
      <c r="AW15" s="42"/>
      <c r="AX15" s="42"/>
      <c r="AY15" s="42"/>
      <c r="AZ15" s="42"/>
      <c r="BA15" s="42"/>
      <c r="BB15" s="42"/>
      <c r="BC15" s="42"/>
      <c r="BD15" s="42"/>
      <c r="BE15" s="42"/>
      <c r="BF15" s="42"/>
      <c r="BG15" s="42"/>
      <c r="BH15" s="42"/>
    </row>
    <row r="16" spans="1:60" s="43" customFormat="1" ht="55.5" customHeight="1">
      <c r="A16" s="42"/>
      <c r="B16" s="46"/>
      <c r="C16" s="48"/>
      <c r="D16" s="42"/>
      <c r="E16" s="38" t="s">
        <v>71</v>
      </c>
      <c r="F16" s="8"/>
      <c r="G16" s="10"/>
      <c r="H16" s="10"/>
      <c r="I16" s="8"/>
      <c r="J16" s="8"/>
      <c r="K16" s="8"/>
      <c r="L16" s="10"/>
      <c r="M16" s="8"/>
      <c r="N16" s="8"/>
      <c r="O16" s="8"/>
      <c r="P16" s="12"/>
      <c r="Q16" s="12"/>
      <c r="R16" s="12"/>
      <c r="S16" s="12"/>
      <c r="T16" s="12"/>
      <c r="U16" s="8" t="e">
        <f t="shared" si="0"/>
        <v>#N/A</v>
      </c>
      <c r="V16" s="52" t="e">
        <f>RANK(U16,$U6:$U20,0)</f>
        <v>#N/A</v>
      </c>
      <c r="W16" s="47"/>
      <c r="X16" s="42"/>
      <c r="Y16" s="42"/>
      <c r="Z16" s="42"/>
      <c r="AA16" s="42"/>
      <c r="AB16" s="56" t="e">
        <f>VLOOKUP(F16, Table2837[#All], 2, 0)</f>
        <v>#N/A</v>
      </c>
      <c r="AC16" s="56" t="e">
        <f>VLOOKUP(G16, Table2837[#All], 2, 0)</f>
        <v>#N/A</v>
      </c>
      <c r="AD16" s="56" t="e">
        <f>VLOOKUP(H16, Table2837[#All], 2, 0)</f>
        <v>#N/A</v>
      </c>
      <c r="AE16" s="56" t="e">
        <f>VLOOKUP(I16, Table2837[#All], 2, 0)</f>
        <v>#N/A</v>
      </c>
      <c r="AF16" s="56" t="e">
        <f>VLOOKUP(J16, Table2837[#All], 2, 0)</f>
        <v>#N/A</v>
      </c>
      <c r="AG16" s="56" t="e">
        <f>VLOOKUP(K16, Table2837[#All], 2, 0)</f>
        <v>#N/A</v>
      </c>
      <c r="AH16" s="56" t="e">
        <f>VLOOKUP(L16, Table2837[#All], 2, 0)</f>
        <v>#N/A</v>
      </c>
      <c r="AI16" s="56" t="e">
        <f>VLOOKUP(M16, Table2837[#All], 2, 0)</f>
        <v>#N/A</v>
      </c>
      <c r="AJ16" s="56" t="e">
        <f>VLOOKUP(N16, Table2837[#All], 2, 0)</f>
        <v>#N/A</v>
      </c>
      <c r="AK16" s="56" t="e">
        <f>VLOOKUP(O16, Table2837[#All], 2, 0)</f>
        <v>#N/A</v>
      </c>
      <c r="AL16" s="58"/>
      <c r="AM16" s="54" t="e">
        <f>1/AL17</f>
        <v>#N/A</v>
      </c>
      <c r="AN16" s="54" t="e">
        <f>1/AL18</f>
        <v>#N/A</v>
      </c>
      <c r="AO16" s="54" t="e">
        <f>1/AL19</f>
        <v>#N/A</v>
      </c>
      <c r="AP16" s="54" t="e">
        <f>1/AL20</f>
        <v>#N/A</v>
      </c>
      <c r="AQ16" s="55" t="e">
        <f t="shared" si="1"/>
        <v>#N/A</v>
      </c>
      <c r="AR16" s="42"/>
      <c r="AS16" s="42"/>
      <c r="AT16" s="42"/>
      <c r="AU16" s="42"/>
      <c r="AV16" s="42"/>
      <c r="AW16" s="42"/>
      <c r="AX16" s="42"/>
      <c r="AY16" s="42"/>
      <c r="AZ16" s="42"/>
      <c r="BA16" s="42"/>
      <c r="BB16" s="42"/>
      <c r="BC16" s="42"/>
      <c r="BD16" s="42"/>
      <c r="BE16" s="42"/>
      <c r="BF16" s="42"/>
      <c r="BG16" s="42"/>
      <c r="BH16" s="42"/>
    </row>
    <row r="17" spans="1:60" s="43" customFormat="1" ht="73.900000000000006" customHeight="1">
      <c r="A17" s="42"/>
      <c r="B17" s="46"/>
      <c r="C17" s="48"/>
      <c r="D17" s="42"/>
      <c r="E17" s="38" t="s">
        <v>304</v>
      </c>
      <c r="F17" s="8"/>
      <c r="G17" s="8"/>
      <c r="H17" s="8"/>
      <c r="I17" s="8"/>
      <c r="J17" s="8"/>
      <c r="K17" s="10"/>
      <c r="L17" s="10"/>
      <c r="M17" s="10"/>
      <c r="N17" s="10"/>
      <c r="O17" s="8"/>
      <c r="P17" s="8"/>
      <c r="Q17" s="9"/>
      <c r="R17" s="9"/>
      <c r="S17" s="9"/>
      <c r="T17" s="9"/>
      <c r="U17" s="8" t="e">
        <f t="shared" si="0"/>
        <v>#N/A</v>
      </c>
      <c r="V17" s="52" t="e">
        <f>RANK(U17,$U6:$U20,0)</f>
        <v>#N/A</v>
      </c>
      <c r="W17" s="47"/>
      <c r="X17" s="42"/>
      <c r="Y17" s="42"/>
      <c r="Z17" s="42"/>
      <c r="AA17" s="42"/>
      <c r="AB17" s="56" t="e">
        <f>VLOOKUP(F17, Table2837[#All], 2, 0)</f>
        <v>#N/A</v>
      </c>
      <c r="AC17" s="56" t="e">
        <f>VLOOKUP(G17, Table2837[#All], 2, 0)</f>
        <v>#N/A</v>
      </c>
      <c r="AD17" s="56" t="e">
        <f>VLOOKUP(H17, Table2837[#All], 2, 0)</f>
        <v>#N/A</v>
      </c>
      <c r="AE17" s="56" t="e">
        <f>VLOOKUP(I17, Table2837[#All], 2, 0)</f>
        <v>#N/A</v>
      </c>
      <c r="AF17" s="56" t="e">
        <f>VLOOKUP(J17, Table2837[#All], 2, 0)</f>
        <v>#N/A</v>
      </c>
      <c r="AG17" s="56" t="e">
        <f>VLOOKUP(K17, Table2837[#All], 2, 0)</f>
        <v>#N/A</v>
      </c>
      <c r="AH17" s="56" t="e">
        <f>VLOOKUP(L17, Table2837[#All], 2, 0)</f>
        <v>#N/A</v>
      </c>
      <c r="AI17" s="56" t="e">
        <f>VLOOKUP(M17, Table2837[#All], 2, 0)</f>
        <v>#N/A</v>
      </c>
      <c r="AJ17" s="56" t="e">
        <f>VLOOKUP(N17, Table2837[#All], 2, 0)</f>
        <v>#N/A</v>
      </c>
      <c r="AK17" s="56" t="e">
        <f>VLOOKUP(O17, Table2837[#All], 2, 0)</f>
        <v>#N/A</v>
      </c>
      <c r="AL17" s="56" t="e">
        <f>VLOOKUP(P17, Table2837[#All], 2, 0)</f>
        <v>#N/A</v>
      </c>
      <c r="AM17" s="58"/>
      <c r="AN17" s="68" t="e">
        <f>1/AM18</f>
        <v>#N/A</v>
      </c>
      <c r="AO17" s="68" t="e">
        <f>1/AM19</f>
        <v>#N/A</v>
      </c>
      <c r="AP17" s="68" t="e">
        <f>1/AM20</f>
        <v>#N/A</v>
      </c>
      <c r="AQ17" s="55" t="e">
        <f t="shared" si="1"/>
        <v>#N/A</v>
      </c>
      <c r="AR17" s="42"/>
      <c r="AS17" s="42"/>
      <c r="AT17" s="42"/>
      <c r="AU17" s="42"/>
      <c r="AV17" s="42"/>
      <c r="AW17" s="42"/>
      <c r="AX17" s="42"/>
      <c r="AY17" s="42"/>
      <c r="AZ17" s="42"/>
      <c r="BA17" s="42"/>
      <c r="BB17" s="42"/>
      <c r="BC17" s="42"/>
      <c r="BD17" s="42"/>
      <c r="BE17" s="42"/>
      <c r="BF17" s="42"/>
      <c r="BG17" s="42"/>
      <c r="BH17" s="42"/>
    </row>
    <row r="18" spans="1:60" s="43" customFormat="1" ht="87.75" customHeight="1">
      <c r="A18" s="42"/>
      <c r="B18" s="46"/>
      <c r="C18" s="48"/>
      <c r="D18" s="42"/>
      <c r="E18" s="38" t="s">
        <v>305</v>
      </c>
      <c r="F18" s="26"/>
      <c r="G18" s="26"/>
      <c r="H18" s="26"/>
      <c r="I18" s="26"/>
      <c r="J18" s="26"/>
      <c r="K18" s="26"/>
      <c r="L18" s="26"/>
      <c r="M18" s="26"/>
      <c r="N18" s="26"/>
      <c r="O18" s="26"/>
      <c r="P18" s="26"/>
      <c r="Q18" s="26"/>
      <c r="R18" s="12"/>
      <c r="S18" s="12"/>
      <c r="T18" s="12"/>
      <c r="U18" s="8" t="e">
        <f t="shared" si="0"/>
        <v>#N/A</v>
      </c>
      <c r="V18" s="52" t="e">
        <f>RANK(U18,$U6:$U20,0)</f>
        <v>#N/A</v>
      </c>
      <c r="W18" s="47"/>
      <c r="X18" s="42"/>
      <c r="Y18" s="42"/>
      <c r="Z18" s="42"/>
      <c r="AA18" s="42"/>
      <c r="AB18" s="56" t="e">
        <f>VLOOKUP(F18, Table2837[#All], 2, 0)</f>
        <v>#N/A</v>
      </c>
      <c r="AC18" s="56" t="e">
        <f>VLOOKUP(G18, Table2837[#All], 2, 0)</f>
        <v>#N/A</v>
      </c>
      <c r="AD18" s="56" t="e">
        <f>VLOOKUP(H18, Table2837[#All], 2, 0)</f>
        <v>#N/A</v>
      </c>
      <c r="AE18" s="56" t="e">
        <f>VLOOKUP(I18, Table2837[#All], 2, 0)</f>
        <v>#N/A</v>
      </c>
      <c r="AF18" s="56" t="e">
        <f>VLOOKUP(J18, Table2837[#All], 2, 0)</f>
        <v>#N/A</v>
      </c>
      <c r="AG18" s="56" t="e">
        <f>VLOOKUP(K18, Table2837[#All], 2, 0)</f>
        <v>#N/A</v>
      </c>
      <c r="AH18" s="56" t="e">
        <f>VLOOKUP(L18, Table2837[#All], 2, 0)</f>
        <v>#N/A</v>
      </c>
      <c r="AI18" s="56" t="e">
        <f>VLOOKUP(M18, Table2837[#All], 2, 0)</f>
        <v>#N/A</v>
      </c>
      <c r="AJ18" s="56" t="e">
        <f>VLOOKUP(N18, Table2837[#All], 2, 0)</f>
        <v>#N/A</v>
      </c>
      <c r="AK18" s="56" t="e">
        <f>VLOOKUP(O18, Table2837[#All], 2, 0)</f>
        <v>#N/A</v>
      </c>
      <c r="AL18" s="56" t="e">
        <f>VLOOKUP(P18, Table2837[#All], 2, 0)</f>
        <v>#N/A</v>
      </c>
      <c r="AM18" s="56" t="e">
        <f>VLOOKUP(Q18, Table2837[#All], 2, 0)</f>
        <v>#N/A</v>
      </c>
      <c r="AN18" s="58"/>
      <c r="AO18" s="68" t="e">
        <f>1/AN19</f>
        <v>#N/A</v>
      </c>
      <c r="AP18" s="68" t="e">
        <f>1/AN20</f>
        <v>#N/A</v>
      </c>
      <c r="AQ18" s="55" t="e">
        <f t="shared" si="1"/>
        <v>#N/A</v>
      </c>
      <c r="AR18" s="42"/>
      <c r="AS18" s="42"/>
      <c r="AT18" s="42"/>
      <c r="AU18" s="42"/>
      <c r="AV18" s="42"/>
      <c r="AW18" s="42"/>
      <c r="AX18" s="42"/>
      <c r="AY18" s="42"/>
      <c r="AZ18" s="42"/>
      <c r="BA18" s="42"/>
      <c r="BB18" s="42"/>
      <c r="BC18" s="42"/>
      <c r="BD18" s="42"/>
      <c r="BE18" s="42"/>
      <c r="BF18" s="42"/>
      <c r="BG18" s="42"/>
      <c r="BH18" s="42"/>
    </row>
    <row r="19" spans="1:60" s="43" customFormat="1" ht="46.35" customHeight="1">
      <c r="A19" s="42"/>
      <c r="B19" s="46"/>
      <c r="C19" s="48"/>
      <c r="D19" s="42"/>
      <c r="E19" s="38" t="s">
        <v>72</v>
      </c>
      <c r="F19" s="26"/>
      <c r="G19" s="26"/>
      <c r="H19" s="26"/>
      <c r="I19" s="26"/>
      <c r="J19" s="26"/>
      <c r="K19" s="26"/>
      <c r="L19" s="26"/>
      <c r="M19" s="26"/>
      <c r="N19" s="26"/>
      <c r="O19" s="26"/>
      <c r="P19" s="26"/>
      <c r="Q19" s="26"/>
      <c r="R19" s="26"/>
      <c r="S19" s="12"/>
      <c r="T19" s="12"/>
      <c r="U19" s="8" t="e">
        <f t="shared" si="0"/>
        <v>#N/A</v>
      </c>
      <c r="V19" s="52" t="e">
        <f>RANK(U19,$U6:$U20,0)</f>
        <v>#N/A</v>
      </c>
      <c r="W19" s="47"/>
      <c r="X19" s="42"/>
      <c r="Y19" s="42"/>
      <c r="Z19" s="42"/>
      <c r="AA19" s="42"/>
      <c r="AB19" s="56" t="e">
        <f>VLOOKUP(F19, Table2837[#All], 2, 0)</f>
        <v>#N/A</v>
      </c>
      <c r="AC19" s="56" t="e">
        <f>VLOOKUP(G19, Table2837[#All], 2, 0)</f>
        <v>#N/A</v>
      </c>
      <c r="AD19" s="56" t="e">
        <f>VLOOKUP(H19, Table2837[#All], 2, 0)</f>
        <v>#N/A</v>
      </c>
      <c r="AE19" s="56" t="e">
        <f>VLOOKUP(I19, Table2837[#All], 2, 0)</f>
        <v>#N/A</v>
      </c>
      <c r="AF19" s="56" t="e">
        <f>VLOOKUP(J19, Table2837[#All], 2, 0)</f>
        <v>#N/A</v>
      </c>
      <c r="AG19" s="56" t="e">
        <f>VLOOKUP(K19, Table2837[#All], 2, 0)</f>
        <v>#N/A</v>
      </c>
      <c r="AH19" s="56" t="e">
        <f>VLOOKUP(L19, Table2837[#All], 2, 0)</f>
        <v>#N/A</v>
      </c>
      <c r="AI19" s="56" t="e">
        <f>VLOOKUP(M19, Table2837[#All], 2, 0)</f>
        <v>#N/A</v>
      </c>
      <c r="AJ19" s="56" t="e">
        <f>VLOOKUP(N19, Table2837[#All], 2, 0)</f>
        <v>#N/A</v>
      </c>
      <c r="AK19" s="56" t="e">
        <f>VLOOKUP(O19, Table2837[#All], 2, 0)</f>
        <v>#N/A</v>
      </c>
      <c r="AL19" s="56" t="e">
        <f>VLOOKUP(P19, Table2837[#All], 2, 0)</f>
        <v>#N/A</v>
      </c>
      <c r="AM19" s="56" t="e">
        <f>VLOOKUP(Q19, Table2837[#All], 2, 0)</f>
        <v>#N/A</v>
      </c>
      <c r="AN19" s="56" t="e">
        <f>VLOOKUP(R19, Table2837[#All], 2, 0)</f>
        <v>#N/A</v>
      </c>
      <c r="AO19" s="58"/>
      <c r="AP19" s="68" t="e">
        <f>1/AO20</f>
        <v>#N/A</v>
      </c>
      <c r="AQ19" s="55" t="e">
        <f t="shared" si="1"/>
        <v>#N/A</v>
      </c>
      <c r="AR19" s="42"/>
      <c r="AS19" s="42"/>
      <c r="AT19" s="42"/>
      <c r="AU19" s="42"/>
      <c r="AV19" s="42"/>
      <c r="AW19" s="42"/>
      <c r="AX19" s="42"/>
      <c r="AY19" s="42"/>
      <c r="AZ19" s="42"/>
      <c r="BA19" s="42"/>
      <c r="BB19" s="42"/>
      <c r="BC19" s="42"/>
      <c r="BD19" s="42"/>
      <c r="BE19" s="42"/>
      <c r="BF19" s="42"/>
      <c r="BG19" s="42"/>
      <c r="BH19" s="42"/>
    </row>
    <row r="20" spans="1:60" s="43" customFormat="1" ht="58.5" customHeight="1" thickBot="1">
      <c r="A20" s="42"/>
      <c r="B20" s="46"/>
      <c r="C20" s="48"/>
      <c r="D20" s="42"/>
      <c r="E20" s="39" t="s">
        <v>306</v>
      </c>
      <c r="F20" s="27"/>
      <c r="G20" s="27"/>
      <c r="H20" s="27"/>
      <c r="I20" s="27"/>
      <c r="J20" s="27"/>
      <c r="K20" s="27"/>
      <c r="L20" s="27"/>
      <c r="M20" s="27"/>
      <c r="N20" s="27"/>
      <c r="O20" s="27"/>
      <c r="P20" s="27"/>
      <c r="Q20" s="27"/>
      <c r="R20" s="27"/>
      <c r="S20" s="27"/>
      <c r="T20" s="6"/>
      <c r="U20" s="13" t="e">
        <f t="shared" si="0"/>
        <v>#N/A</v>
      </c>
      <c r="V20" s="57" t="e">
        <f>RANK(U20,$U6:$U20,0)</f>
        <v>#N/A</v>
      </c>
      <c r="W20" s="47"/>
      <c r="X20" s="42"/>
      <c r="Y20" s="42"/>
      <c r="Z20" s="42"/>
      <c r="AA20" s="42"/>
      <c r="AB20" s="56" t="e">
        <f>VLOOKUP(F20, Table2837[#All], 2, 0)</f>
        <v>#N/A</v>
      </c>
      <c r="AC20" s="56" t="e">
        <f>VLOOKUP(G20, Table2837[#All], 2, 0)</f>
        <v>#N/A</v>
      </c>
      <c r="AD20" s="56" t="e">
        <f>VLOOKUP(H20, Table2837[#All], 2, 0)</f>
        <v>#N/A</v>
      </c>
      <c r="AE20" s="56" t="e">
        <f>VLOOKUP(I20, Table2837[#All], 2, 0)</f>
        <v>#N/A</v>
      </c>
      <c r="AF20" s="56" t="e">
        <f>VLOOKUP(J20, Table2837[#All], 2, 0)</f>
        <v>#N/A</v>
      </c>
      <c r="AG20" s="56" t="e">
        <f>VLOOKUP(K20, Table2837[#All], 2, 0)</f>
        <v>#N/A</v>
      </c>
      <c r="AH20" s="56" t="e">
        <f>VLOOKUP(L20, Table2837[#All], 2, 0)</f>
        <v>#N/A</v>
      </c>
      <c r="AI20" s="56" t="e">
        <f>VLOOKUP(M20, Table2837[#All], 2, 0)</f>
        <v>#N/A</v>
      </c>
      <c r="AJ20" s="56" t="e">
        <f>VLOOKUP(N20, Table2837[#All], 2, 0)</f>
        <v>#N/A</v>
      </c>
      <c r="AK20" s="56" t="e">
        <f>VLOOKUP(O20, Table2837[#All], 2, 0)</f>
        <v>#N/A</v>
      </c>
      <c r="AL20" s="56" t="e">
        <f>VLOOKUP(P20, Table2837[#All], 2, 0)</f>
        <v>#N/A</v>
      </c>
      <c r="AM20" s="56" t="e">
        <f>VLOOKUP(Q20, Table2837[#All], 2, 0)</f>
        <v>#N/A</v>
      </c>
      <c r="AN20" s="56" t="e">
        <f>VLOOKUP(R20, Table2837[#All], 2, 0)</f>
        <v>#N/A</v>
      </c>
      <c r="AO20" s="56" t="e">
        <f>VLOOKUP(S20, Table2837[#All], 2, 0)</f>
        <v>#N/A</v>
      </c>
      <c r="AP20" s="58"/>
      <c r="AQ20" s="55" t="e">
        <f t="shared" si="1"/>
        <v>#N/A</v>
      </c>
      <c r="AR20" s="42"/>
      <c r="AS20" s="42"/>
      <c r="AT20" s="42"/>
      <c r="AU20" s="42"/>
      <c r="AV20" s="42"/>
      <c r="AW20" s="42"/>
      <c r="AX20" s="42"/>
      <c r="AY20" s="42"/>
      <c r="AZ20" s="42"/>
      <c r="BA20" s="42"/>
      <c r="BB20" s="42"/>
      <c r="BC20" s="42"/>
      <c r="BD20" s="42"/>
      <c r="BE20" s="42"/>
      <c r="BF20" s="42"/>
      <c r="BG20" s="42"/>
      <c r="BH20" s="42"/>
    </row>
    <row r="21" spans="1:60" s="43" customFormat="1">
      <c r="A21" s="42"/>
      <c r="B21" s="46"/>
      <c r="C21" s="48"/>
      <c r="D21" s="42"/>
      <c r="E21" s="71"/>
      <c r="F21" s="72"/>
      <c r="G21" s="72"/>
      <c r="H21" s="72"/>
      <c r="I21" s="72"/>
      <c r="J21" s="72"/>
      <c r="K21" s="72"/>
      <c r="L21" s="72"/>
      <c r="M21" s="72"/>
      <c r="N21" s="72"/>
      <c r="O21" s="72"/>
      <c r="P21" s="72"/>
      <c r="Q21" s="72"/>
      <c r="R21" s="72"/>
      <c r="S21" s="72"/>
      <c r="T21" s="72"/>
      <c r="U21" s="73"/>
      <c r="V21" s="42"/>
      <c r="W21" s="47"/>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row>
    <row r="22" spans="1:60" s="43" customFormat="1" ht="16.5" thickBot="1">
      <c r="A22" s="42"/>
      <c r="B22" s="46"/>
      <c r="C22" s="61"/>
      <c r="D22" s="42"/>
      <c r="E22" s="31"/>
      <c r="F22" s="31"/>
      <c r="G22" s="31"/>
      <c r="H22" s="31"/>
      <c r="I22" s="31"/>
      <c r="J22" s="31"/>
      <c r="K22" s="31"/>
      <c r="L22" s="31"/>
      <c r="M22" s="31"/>
      <c r="N22" s="31"/>
      <c r="O22" s="31"/>
      <c r="P22" s="31"/>
      <c r="Q22" s="31"/>
      <c r="R22" s="31"/>
      <c r="S22" s="31"/>
      <c r="T22" s="31"/>
      <c r="U22" s="42"/>
      <c r="V22" s="42"/>
      <c r="W22" s="47"/>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row>
    <row r="23" spans="1:60" s="43" customFormat="1" ht="16.5" thickBot="1">
      <c r="A23" s="42"/>
      <c r="B23" s="62"/>
      <c r="C23" s="83"/>
      <c r="D23" s="63"/>
      <c r="E23" s="33"/>
      <c r="F23" s="33"/>
      <c r="G23" s="33"/>
      <c r="H23" s="33"/>
      <c r="I23" s="33"/>
      <c r="J23" s="33"/>
      <c r="K23" s="33"/>
      <c r="L23" s="33"/>
      <c r="M23" s="33"/>
      <c r="N23" s="33"/>
      <c r="O23" s="33"/>
      <c r="P23" s="33"/>
      <c r="Q23" s="33"/>
      <c r="R23" s="33"/>
      <c r="S23" s="33"/>
      <c r="T23" s="33"/>
      <c r="U23" s="63"/>
      <c r="V23" s="63"/>
      <c r="W23" s="64"/>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row>
    <row r="24" spans="1:60" s="43" customFormat="1">
      <c r="A24" s="42"/>
      <c r="B24" s="42"/>
      <c r="C24" s="69"/>
      <c r="D24" s="42"/>
      <c r="E24" s="31"/>
      <c r="F24" s="31"/>
      <c r="G24" s="31"/>
      <c r="H24" s="31"/>
      <c r="I24" s="31"/>
      <c r="J24" s="31"/>
      <c r="K24" s="31"/>
      <c r="L24" s="31"/>
      <c r="M24" s="31"/>
      <c r="N24" s="31"/>
      <c r="O24" s="31"/>
      <c r="P24" s="31"/>
      <c r="Q24" s="31"/>
      <c r="R24" s="31"/>
      <c r="S24" s="31"/>
      <c r="T24" s="31"/>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row>
    <row r="25" spans="1:60" s="43" customFormat="1">
      <c r="A25" s="42"/>
      <c r="B25" s="42"/>
      <c r="C25" s="69"/>
      <c r="D25" s="42"/>
      <c r="E25" s="31"/>
      <c r="F25" s="31"/>
      <c r="G25" s="31"/>
      <c r="H25" s="31"/>
      <c r="I25" s="31"/>
      <c r="J25" s="31"/>
      <c r="K25" s="31"/>
      <c r="L25" s="31"/>
      <c r="M25" s="31"/>
      <c r="N25" s="31"/>
      <c r="O25" s="31"/>
      <c r="P25" s="31"/>
      <c r="Q25" s="31"/>
      <c r="R25" s="31"/>
      <c r="S25" s="31"/>
      <c r="T25" s="31"/>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row>
    <row r="26" spans="1:60" s="43" customFormat="1">
      <c r="A26" s="42"/>
      <c r="B26" s="42"/>
      <c r="C26" s="69"/>
      <c r="D26" s="42"/>
      <c r="E26" s="31"/>
      <c r="F26" s="31"/>
      <c r="G26" s="31"/>
      <c r="H26" s="31"/>
      <c r="I26" s="31"/>
      <c r="J26" s="31"/>
      <c r="K26" s="31"/>
      <c r="L26" s="31"/>
      <c r="M26" s="31"/>
      <c r="N26" s="31"/>
      <c r="O26" s="31"/>
      <c r="P26" s="31"/>
      <c r="Q26" s="31"/>
      <c r="R26" s="31"/>
      <c r="S26" s="31"/>
      <c r="T26" s="31"/>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row>
    <row r="27" spans="1:60" s="43" customFormat="1">
      <c r="A27" s="42"/>
      <c r="B27" s="42"/>
      <c r="C27" s="69"/>
      <c r="D27" s="42"/>
      <c r="E27" s="31"/>
      <c r="F27" s="31"/>
      <c r="G27" s="31"/>
      <c r="H27" s="31"/>
      <c r="I27" s="31"/>
      <c r="J27" s="31"/>
      <c r="K27" s="31"/>
      <c r="L27" s="31"/>
      <c r="M27" s="31"/>
      <c r="N27" s="31"/>
      <c r="O27" s="31"/>
      <c r="P27" s="31"/>
      <c r="Q27" s="31"/>
      <c r="R27" s="31"/>
      <c r="S27" s="31"/>
      <c r="T27" s="31"/>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row>
    <row r="28" spans="1:60" s="43" customFormat="1">
      <c r="A28" s="42"/>
      <c r="B28" s="42"/>
      <c r="C28" s="69"/>
      <c r="D28" s="42"/>
      <c r="E28" s="31"/>
      <c r="F28" s="31"/>
      <c r="G28" s="31"/>
      <c r="H28" s="31"/>
      <c r="I28" s="31"/>
      <c r="J28" s="31"/>
      <c r="K28" s="31"/>
      <c r="L28" s="31"/>
      <c r="M28" s="31"/>
      <c r="N28" s="31"/>
      <c r="O28" s="31"/>
      <c r="P28" s="31"/>
      <c r="Q28" s="31"/>
      <c r="R28" s="31"/>
      <c r="S28" s="31"/>
      <c r="T28" s="31"/>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row>
    <row r="29" spans="1:60" s="43" customFormat="1">
      <c r="A29" s="42"/>
      <c r="B29" s="42"/>
      <c r="C29" s="42"/>
      <c r="D29" s="42"/>
      <c r="E29" s="31"/>
      <c r="F29" s="31"/>
      <c r="G29" s="31"/>
      <c r="H29" s="31"/>
      <c r="I29" s="31"/>
      <c r="J29" s="31"/>
      <c r="K29" s="31"/>
      <c r="L29" s="31"/>
      <c r="M29" s="31"/>
      <c r="N29" s="31"/>
      <c r="O29" s="31"/>
      <c r="P29" s="31"/>
      <c r="Q29" s="31"/>
      <c r="R29" s="31"/>
      <c r="S29" s="31"/>
      <c r="T29" s="31"/>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row>
    <row r="30" spans="1:60" s="43" customFormat="1">
      <c r="A30" s="42"/>
      <c r="B30" s="42"/>
      <c r="C30" s="42"/>
      <c r="D30" s="42"/>
      <c r="E30" s="31"/>
      <c r="F30" s="31"/>
      <c r="G30" s="31"/>
      <c r="H30" s="31"/>
      <c r="I30" s="31"/>
      <c r="J30" s="31"/>
      <c r="K30" s="31"/>
      <c r="L30" s="31"/>
      <c r="M30" s="31"/>
      <c r="N30" s="31"/>
      <c r="O30" s="31"/>
      <c r="P30" s="31"/>
      <c r="Q30" s="31"/>
      <c r="R30" s="31"/>
      <c r="S30" s="31"/>
      <c r="T30" s="31"/>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row>
    <row r="31" spans="1:60" s="43" customFormat="1">
      <c r="A31" s="42"/>
      <c r="B31" s="42"/>
      <c r="C31" s="42"/>
      <c r="D31" s="42"/>
      <c r="E31" s="31"/>
      <c r="F31" s="31"/>
      <c r="G31" s="31"/>
      <c r="H31" s="31"/>
      <c r="I31" s="31"/>
      <c r="J31" s="31"/>
      <c r="K31" s="31"/>
      <c r="L31" s="31"/>
      <c r="M31" s="31"/>
      <c r="N31" s="31"/>
      <c r="O31" s="31"/>
      <c r="P31" s="31"/>
      <c r="Q31" s="31"/>
      <c r="R31" s="31"/>
      <c r="S31" s="31"/>
      <c r="T31" s="31"/>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row>
    <row r="32" spans="1:60" s="43" customFormat="1">
      <c r="A32" s="42"/>
      <c r="B32" s="42"/>
      <c r="C32" s="42"/>
      <c r="D32" s="42"/>
      <c r="E32" s="31"/>
      <c r="F32" s="31"/>
      <c r="G32" s="31"/>
      <c r="H32" s="31"/>
      <c r="I32" s="31"/>
      <c r="J32" s="31"/>
      <c r="K32" s="31"/>
      <c r="L32" s="31"/>
      <c r="M32" s="31"/>
      <c r="N32" s="31"/>
      <c r="O32" s="31"/>
      <c r="P32" s="31"/>
      <c r="Q32" s="31"/>
      <c r="R32" s="31"/>
      <c r="S32" s="31"/>
      <c r="T32" s="31"/>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c r="AY32" s="42"/>
      <c r="AZ32" s="42"/>
      <c r="BA32" s="42"/>
      <c r="BB32" s="42"/>
      <c r="BC32" s="42"/>
      <c r="BD32" s="42"/>
      <c r="BE32" s="42"/>
      <c r="BF32" s="42"/>
      <c r="BG32" s="42"/>
      <c r="BH32" s="42"/>
    </row>
    <row r="33" spans="1:60" s="43" customFormat="1">
      <c r="A33" s="42"/>
      <c r="B33" s="42"/>
      <c r="C33" s="42"/>
      <c r="D33" s="42"/>
      <c r="E33" s="31"/>
      <c r="F33" s="31"/>
      <c r="G33" s="31"/>
      <c r="H33" s="31"/>
      <c r="I33" s="31"/>
      <c r="J33" s="31"/>
      <c r="K33" s="31"/>
      <c r="L33" s="31"/>
      <c r="M33" s="31"/>
      <c r="N33" s="31"/>
      <c r="O33" s="31"/>
      <c r="P33" s="31"/>
      <c r="Q33" s="31"/>
      <c r="R33" s="31"/>
      <c r="S33" s="31"/>
      <c r="T33" s="31"/>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c r="AY33" s="42"/>
      <c r="AZ33" s="42"/>
      <c r="BA33" s="42"/>
      <c r="BB33" s="42"/>
      <c r="BC33" s="42"/>
      <c r="BD33" s="42"/>
      <c r="BE33" s="42"/>
      <c r="BF33" s="42"/>
      <c r="BG33" s="42"/>
      <c r="BH33" s="42"/>
    </row>
    <row r="34" spans="1:60" s="43" customFormat="1">
      <c r="A34" s="42"/>
      <c r="B34" s="42"/>
      <c r="C34" s="42"/>
      <c r="D34" s="42"/>
      <c r="E34" s="31"/>
      <c r="F34" s="31"/>
      <c r="G34" s="31"/>
      <c r="H34" s="31"/>
      <c r="I34" s="31"/>
      <c r="J34" s="31"/>
      <c r="K34" s="31"/>
      <c r="L34" s="31"/>
      <c r="M34" s="31"/>
      <c r="N34" s="31"/>
      <c r="O34" s="31"/>
      <c r="P34" s="31"/>
      <c r="Q34" s="31"/>
      <c r="R34" s="31"/>
      <c r="S34" s="31"/>
      <c r="T34" s="31"/>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c r="AY34" s="42"/>
      <c r="AZ34" s="42"/>
      <c r="BA34" s="42"/>
      <c r="BB34" s="42"/>
      <c r="BC34" s="42"/>
      <c r="BD34" s="42"/>
      <c r="BE34" s="42"/>
      <c r="BF34" s="42"/>
      <c r="BG34" s="42"/>
      <c r="BH34" s="42"/>
    </row>
    <row r="35" spans="1:60" s="43" customFormat="1">
      <c r="A35" s="42"/>
      <c r="B35" s="42"/>
      <c r="C35" s="42"/>
      <c r="D35" s="42"/>
      <c r="E35" s="31"/>
      <c r="F35" s="31"/>
      <c r="G35" s="31"/>
      <c r="H35" s="31"/>
      <c r="I35" s="31"/>
      <c r="J35" s="31"/>
      <c r="K35" s="31"/>
      <c r="L35" s="31"/>
      <c r="M35" s="31"/>
      <c r="N35" s="31"/>
      <c r="O35" s="31"/>
      <c r="P35" s="31"/>
      <c r="Q35" s="31"/>
      <c r="R35" s="31"/>
      <c r="S35" s="31"/>
      <c r="T35" s="31"/>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c r="AY35" s="42"/>
      <c r="AZ35" s="42"/>
      <c r="BA35" s="42"/>
      <c r="BB35" s="42"/>
      <c r="BC35" s="42"/>
      <c r="BD35" s="42"/>
      <c r="BE35" s="42"/>
      <c r="BF35" s="42"/>
      <c r="BG35" s="42"/>
      <c r="BH35" s="42"/>
    </row>
    <row r="36" spans="1:60" s="43" customFormat="1">
      <c r="A36" s="42"/>
      <c r="B36" s="42"/>
      <c r="C36" s="42"/>
      <c r="D36" s="42"/>
      <c r="E36" s="31"/>
      <c r="F36" s="31"/>
      <c r="G36" s="31"/>
      <c r="H36" s="31"/>
      <c r="I36" s="31"/>
      <c r="J36" s="31"/>
      <c r="K36" s="31"/>
      <c r="L36" s="31"/>
      <c r="M36" s="31"/>
      <c r="N36" s="31"/>
      <c r="O36" s="31"/>
      <c r="P36" s="31"/>
      <c r="Q36" s="31"/>
      <c r="R36" s="31"/>
      <c r="S36" s="31"/>
      <c r="T36" s="31"/>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c r="AY36" s="42"/>
      <c r="AZ36" s="42"/>
      <c r="BA36" s="42"/>
      <c r="BB36" s="42"/>
      <c r="BC36" s="42"/>
      <c r="BD36" s="42"/>
      <c r="BE36" s="42"/>
      <c r="BF36" s="42"/>
      <c r="BG36" s="42"/>
      <c r="BH36" s="42"/>
    </row>
    <row r="37" spans="1:60" s="60" customFormat="1">
      <c r="A37" s="42"/>
      <c r="B37" s="42"/>
      <c r="C37" s="42"/>
      <c r="D37" s="42"/>
      <c r="E37" s="31"/>
      <c r="F37" s="31"/>
      <c r="G37" s="31"/>
      <c r="H37" s="31"/>
      <c r="I37" s="31"/>
      <c r="J37" s="31"/>
      <c r="K37" s="31"/>
      <c r="L37" s="31"/>
      <c r="M37" s="31"/>
      <c r="N37" s="31"/>
      <c r="O37" s="31"/>
      <c r="P37" s="31"/>
      <c r="Q37" s="31"/>
      <c r="R37" s="31"/>
      <c r="S37" s="31"/>
      <c r="T37" s="31"/>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c r="AY37" s="42"/>
      <c r="AZ37" s="42"/>
      <c r="BA37" s="42"/>
      <c r="BB37" s="42"/>
      <c r="BC37" s="42"/>
      <c r="BD37" s="42"/>
      <c r="BE37" s="42"/>
      <c r="BF37" s="42"/>
      <c r="BG37" s="42"/>
      <c r="BH37" s="42"/>
    </row>
    <row r="43" spans="1:60">
      <c r="E43" s="42"/>
    </row>
  </sheetData>
  <mergeCells count="2">
    <mergeCell ref="C2:V2"/>
    <mergeCell ref="E4:V4"/>
  </mergeCells>
  <dataValidations count="1">
    <dataValidation type="list" allowBlank="1" showInputMessage="1" showErrorMessage="1" sqref="J11:J17 F7:F17 K12:K17 L13:L17 I10:I17 M14:M16 N15:N16 O16 H9:H17 M17:P17 F18:Q18 F19:R19 F20:S20 G8:G17" xr:uid="{30ABCCAE-009B-410D-B5DD-58BD193561D6}">
      <formula1>Scale</formula1>
    </dataValidation>
  </dataValidation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750D-2D35-4642-809B-CF011A3E6013}">
  <dimension ref="A1:BD33"/>
  <sheetViews>
    <sheetView topLeftCell="C9" zoomScale="60" zoomScaleNormal="60" workbookViewId="0">
      <selection activeCell="E11" sqref="E11"/>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18" width="10.625" style="31" customWidth="1"/>
    <col min="19" max="20" width="10.625" style="42" customWidth="1"/>
    <col min="21" max="22" width="3.375" style="42" customWidth="1"/>
    <col min="23" max="23" width="20" style="42" hidden="1" customWidth="1"/>
    <col min="24" max="24" width="11.625" style="42" hidden="1" customWidth="1"/>
    <col min="25" max="25" width="10.875" style="42" hidden="1" customWidth="1"/>
    <col min="26" max="39" width="5.125" style="42" hidden="1" customWidth="1"/>
    <col min="40" max="16384" width="10.875" style="42"/>
  </cols>
  <sheetData>
    <row r="1" spans="1:56" s="43" customFormat="1" ht="16.5" thickBot="1">
      <c r="A1" s="42"/>
      <c r="B1" s="42"/>
      <c r="C1" s="42"/>
      <c r="D1" s="42"/>
      <c r="E1" s="31"/>
      <c r="F1" s="31"/>
      <c r="G1" s="31"/>
      <c r="H1" s="31"/>
      <c r="I1" s="31"/>
      <c r="J1" s="31"/>
      <c r="K1" s="31"/>
      <c r="L1" s="31"/>
      <c r="M1" s="31"/>
      <c r="N1" s="31"/>
      <c r="O1" s="31"/>
      <c r="P1" s="31"/>
      <c r="Q1" s="31"/>
      <c r="R1" s="31"/>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row>
    <row r="2" spans="1:56" s="43" customFormat="1" ht="26.25">
      <c r="A2" s="42"/>
      <c r="B2" s="44"/>
      <c r="C2" s="96" t="s">
        <v>307</v>
      </c>
      <c r="D2" s="96"/>
      <c r="E2" s="96"/>
      <c r="F2" s="96"/>
      <c r="G2" s="96"/>
      <c r="H2" s="96"/>
      <c r="I2" s="96"/>
      <c r="J2" s="96"/>
      <c r="K2" s="96"/>
      <c r="L2" s="96"/>
      <c r="M2" s="96"/>
      <c r="N2" s="96"/>
      <c r="O2" s="96"/>
      <c r="P2" s="96"/>
      <c r="Q2" s="96"/>
      <c r="R2" s="96"/>
      <c r="S2" s="96"/>
      <c r="T2" s="96"/>
      <c r="U2" s="45"/>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row>
    <row r="3" spans="1:56" s="43" customFormat="1" ht="21.75" thickBot="1">
      <c r="A3" s="42"/>
      <c r="B3" s="46"/>
      <c r="C3" s="42"/>
      <c r="D3" s="42"/>
      <c r="E3" s="4"/>
      <c r="F3" s="4"/>
      <c r="G3" s="4"/>
      <c r="H3" s="4"/>
      <c r="I3" s="4"/>
      <c r="J3" s="4"/>
      <c r="K3" s="4"/>
      <c r="L3" s="4"/>
      <c r="M3" s="4"/>
      <c r="N3" s="4"/>
      <c r="O3" s="4"/>
      <c r="P3" s="4"/>
      <c r="Q3" s="4"/>
      <c r="R3" s="4"/>
      <c r="S3" s="4"/>
      <c r="T3" s="4"/>
      <c r="U3" s="47"/>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row>
    <row r="4" spans="1:56" s="43" customFormat="1" ht="21.75" thickBot="1">
      <c r="A4" s="42"/>
      <c r="B4" s="46"/>
      <c r="C4" s="24" t="s">
        <v>11</v>
      </c>
      <c r="D4" s="4"/>
      <c r="E4" s="100" t="s">
        <v>12</v>
      </c>
      <c r="F4" s="101"/>
      <c r="G4" s="101"/>
      <c r="H4" s="101"/>
      <c r="I4" s="101"/>
      <c r="J4" s="101"/>
      <c r="K4" s="101"/>
      <c r="L4" s="101"/>
      <c r="M4" s="101"/>
      <c r="N4" s="101"/>
      <c r="O4" s="101"/>
      <c r="P4" s="101"/>
      <c r="Q4" s="101"/>
      <c r="R4" s="101"/>
      <c r="S4" s="101"/>
      <c r="T4" s="102"/>
      <c r="U4" s="47"/>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row>
    <row r="5" spans="1:56" s="43" customFormat="1">
      <c r="A5" s="42"/>
      <c r="B5" s="46"/>
      <c r="C5" s="74"/>
      <c r="D5" s="42"/>
      <c r="E5" s="75" t="s">
        <v>13</v>
      </c>
      <c r="F5" s="32" t="s">
        <v>309</v>
      </c>
      <c r="G5" s="32" t="s">
        <v>73</v>
      </c>
      <c r="H5" s="32" t="s">
        <v>74</v>
      </c>
      <c r="I5" s="32" t="s">
        <v>75</v>
      </c>
      <c r="J5" s="32">
        <v>82.1</v>
      </c>
      <c r="K5" s="32" t="s">
        <v>76</v>
      </c>
      <c r="L5" s="32" t="s">
        <v>77</v>
      </c>
      <c r="M5" s="32" t="s">
        <v>78</v>
      </c>
      <c r="N5" s="32" t="s">
        <v>79</v>
      </c>
      <c r="O5" s="32" t="s">
        <v>318</v>
      </c>
      <c r="P5" s="32" t="s">
        <v>80</v>
      </c>
      <c r="Q5" s="32" t="s">
        <v>81</v>
      </c>
      <c r="R5" s="32" t="s">
        <v>319</v>
      </c>
      <c r="S5" s="32" t="s">
        <v>14</v>
      </c>
      <c r="T5" s="76" t="s">
        <v>15</v>
      </c>
      <c r="U5" s="47"/>
      <c r="V5" s="42"/>
      <c r="W5" s="42" t="s">
        <v>16</v>
      </c>
      <c r="X5" s="42" t="s">
        <v>17</v>
      </c>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row>
    <row r="6" spans="1:56" s="43" customFormat="1" ht="53.85" customHeight="1">
      <c r="A6" s="42"/>
      <c r="B6" s="46"/>
      <c r="C6" s="48"/>
      <c r="D6" s="42"/>
      <c r="E6" s="37" t="s">
        <v>310</v>
      </c>
      <c r="F6" s="9"/>
      <c r="G6" s="9"/>
      <c r="H6" s="9"/>
      <c r="I6" s="9"/>
      <c r="J6" s="9"/>
      <c r="K6" s="9"/>
      <c r="L6" s="9"/>
      <c r="M6" s="9"/>
      <c r="N6" s="9"/>
      <c r="O6" s="9"/>
      <c r="P6" s="9"/>
      <c r="Q6" s="9"/>
      <c r="R6" s="9"/>
      <c r="S6" s="8" t="e">
        <f t="shared" ref="S6:S18" si="0">AM6</f>
        <v>#N/A</v>
      </c>
      <c r="T6" s="52" t="e">
        <f>RANK(S6,$S6:$S18,0)</f>
        <v>#N/A</v>
      </c>
      <c r="U6" s="47"/>
      <c r="V6" s="42"/>
      <c r="W6" s="42" t="s">
        <v>18</v>
      </c>
      <c r="X6" s="42">
        <v>10</v>
      </c>
      <c r="Y6" s="42"/>
      <c r="Z6" s="53"/>
      <c r="AA6" s="54" t="e">
        <f>1/Z7</f>
        <v>#N/A</v>
      </c>
      <c r="AB6" s="54" t="e">
        <f>1/Z8</f>
        <v>#N/A</v>
      </c>
      <c r="AC6" s="54" t="e">
        <f>1/Z9</f>
        <v>#N/A</v>
      </c>
      <c r="AD6" s="54" t="e">
        <f>1/Z10</f>
        <v>#N/A</v>
      </c>
      <c r="AE6" s="54" t="e">
        <f>1/Z11</f>
        <v>#N/A</v>
      </c>
      <c r="AF6" s="54" t="e">
        <f>1/Z12</f>
        <v>#N/A</v>
      </c>
      <c r="AG6" s="54" t="e">
        <f>1/Z13</f>
        <v>#N/A</v>
      </c>
      <c r="AH6" s="54" t="e">
        <f>1/Z14</f>
        <v>#N/A</v>
      </c>
      <c r="AI6" s="54" t="e">
        <f>1/Z15</f>
        <v>#N/A</v>
      </c>
      <c r="AJ6" s="54" t="e">
        <f>1/Z16</f>
        <v>#N/A</v>
      </c>
      <c r="AK6" s="54" t="e">
        <f>1/Z17</f>
        <v>#N/A</v>
      </c>
      <c r="AL6" s="54" t="e">
        <f>1/Z18</f>
        <v>#N/A</v>
      </c>
      <c r="AM6" s="55" t="e">
        <f t="shared" ref="AM6:AM18" si="1">SUM(Z6:AL6)</f>
        <v>#N/A</v>
      </c>
      <c r="AN6" s="42"/>
      <c r="AO6" s="42"/>
      <c r="AP6" s="42"/>
      <c r="AQ6" s="42"/>
      <c r="AR6" s="42"/>
      <c r="AS6" s="42"/>
      <c r="AT6" s="42"/>
      <c r="AU6" s="42"/>
      <c r="AV6" s="42"/>
      <c r="AW6" s="42"/>
      <c r="AX6" s="42"/>
      <c r="AY6" s="42"/>
      <c r="AZ6" s="42"/>
      <c r="BA6" s="42"/>
      <c r="BB6" s="42"/>
      <c r="BC6" s="42"/>
      <c r="BD6" s="42"/>
    </row>
    <row r="7" spans="1:56" s="43" customFormat="1" ht="55.9" customHeight="1">
      <c r="A7" s="42"/>
      <c r="B7" s="46"/>
      <c r="C7" s="48"/>
      <c r="D7" s="42"/>
      <c r="E7" s="37" t="s">
        <v>311</v>
      </c>
      <c r="F7" s="8"/>
      <c r="G7" s="9"/>
      <c r="H7" s="9"/>
      <c r="I7" s="9"/>
      <c r="J7" s="9"/>
      <c r="K7" s="9"/>
      <c r="L7" s="9"/>
      <c r="M7" s="9"/>
      <c r="N7" s="9"/>
      <c r="O7" s="9"/>
      <c r="P7" s="9"/>
      <c r="Q7" s="9"/>
      <c r="R7" s="9"/>
      <c r="S7" s="8" t="e">
        <f t="shared" si="0"/>
        <v>#N/A</v>
      </c>
      <c r="T7" s="52" t="e">
        <f>RANK(S7,$S6:$S18,0)</f>
        <v>#N/A</v>
      </c>
      <c r="U7" s="47"/>
      <c r="V7" s="42"/>
      <c r="W7" s="42" t="s">
        <v>19</v>
      </c>
      <c r="X7" s="42">
        <v>5</v>
      </c>
      <c r="Y7" s="42"/>
      <c r="Z7" s="56" t="e">
        <f>VLOOKUP(F7, Table28378[#All], 2, 0)</f>
        <v>#N/A</v>
      </c>
      <c r="AA7" s="53"/>
      <c r="AB7" s="54" t="e">
        <f>1/AA8</f>
        <v>#N/A</v>
      </c>
      <c r="AC7" s="54" t="e">
        <f>1/AA9</f>
        <v>#N/A</v>
      </c>
      <c r="AD7" s="54" t="e">
        <f>1/AA10</f>
        <v>#N/A</v>
      </c>
      <c r="AE7" s="54" t="e">
        <f>1/AA11</f>
        <v>#N/A</v>
      </c>
      <c r="AF7" s="54" t="e">
        <f>1/AA12</f>
        <v>#N/A</v>
      </c>
      <c r="AG7" s="54" t="e">
        <f>1/AA13</f>
        <v>#N/A</v>
      </c>
      <c r="AH7" s="54" t="e">
        <f>1/AA14</f>
        <v>#N/A</v>
      </c>
      <c r="AI7" s="54" t="e">
        <f>1/AA15</f>
        <v>#N/A</v>
      </c>
      <c r="AJ7" s="54" t="e">
        <f>1/AA16</f>
        <v>#N/A</v>
      </c>
      <c r="AK7" s="54" t="e">
        <f>1/AA17</f>
        <v>#N/A</v>
      </c>
      <c r="AL7" s="54" t="e">
        <f>1/AA18</f>
        <v>#N/A</v>
      </c>
      <c r="AM7" s="55" t="e">
        <f t="shared" si="1"/>
        <v>#N/A</v>
      </c>
      <c r="AN7" s="42"/>
      <c r="AO7" s="42"/>
      <c r="AP7" s="42"/>
      <c r="AQ7" s="42"/>
      <c r="AR7" s="42"/>
      <c r="AS7" s="42"/>
      <c r="AT7" s="42"/>
      <c r="AU7" s="42"/>
      <c r="AV7" s="42"/>
      <c r="AW7" s="42"/>
      <c r="AX7" s="42"/>
      <c r="AY7" s="42"/>
      <c r="AZ7" s="42"/>
      <c r="BA7" s="42"/>
      <c r="BB7" s="42"/>
      <c r="BC7" s="42"/>
      <c r="BD7" s="42"/>
    </row>
    <row r="8" spans="1:56" s="43" customFormat="1" ht="94.15" customHeight="1">
      <c r="A8" s="42"/>
      <c r="B8" s="46"/>
      <c r="C8" s="48"/>
      <c r="D8" s="42"/>
      <c r="E8" s="37" t="s">
        <v>312</v>
      </c>
      <c r="F8" s="8"/>
      <c r="G8" s="8"/>
      <c r="H8" s="9"/>
      <c r="I8" s="9"/>
      <c r="J8" s="9"/>
      <c r="K8" s="9"/>
      <c r="L8" s="9"/>
      <c r="M8" s="9"/>
      <c r="N8" s="9"/>
      <c r="O8" s="9"/>
      <c r="P8" s="9"/>
      <c r="Q8" s="9"/>
      <c r="R8" s="9"/>
      <c r="S8" s="8" t="e">
        <f t="shared" si="0"/>
        <v>#N/A</v>
      </c>
      <c r="T8" s="52" t="e">
        <f>RANK(S8,$S6:$S18,0)</f>
        <v>#N/A</v>
      </c>
      <c r="U8" s="47"/>
      <c r="V8" s="42"/>
      <c r="W8" s="42" t="s">
        <v>20</v>
      </c>
      <c r="X8" s="42">
        <v>1</v>
      </c>
      <c r="Y8" s="42"/>
      <c r="Z8" s="56" t="e">
        <f>VLOOKUP(F8, Table28378[#All], 2, 0)</f>
        <v>#N/A</v>
      </c>
      <c r="AA8" s="56" t="e">
        <f>VLOOKUP(G8, Table28378[#All], 2, 0)</f>
        <v>#N/A</v>
      </c>
      <c r="AB8" s="53"/>
      <c r="AC8" s="54" t="e">
        <f>1/AB9</f>
        <v>#N/A</v>
      </c>
      <c r="AD8" s="54" t="e">
        <f>1/AB10</f>
        <v>#N/A</v>
      </c>
      <c r="AE8" s="54" t="e">
        <f>1/AB11</f>
        <v>#N/A</v>
      </c>
      <c r="AF8" s="54" t="e">
        <f>1/AB12</f>
        <v>#N/A</v>
      </c>
      <c r="AG8" s="54" t="e">
        <f>1/AB13</f>
        <v>#N/A</v>
      </c>
      <c r="AH8" s="54" t="e">
        <f>1/AB14</f>
        <v>#N/A</v>
      </c>
      <c r="AI8" s="54" t="e">
        <f>1/AB15</f>
        <v>#N/A</v>
      </c>
      <c r="AJ8" s="54" t="e">
        <f>1/AB16</f>
        <v>#N/A</v>
      </c>
      <c r="AK8" s="54" t="e">
        <f>1/AB17</f>
        <v>#N/A</v>
      </c>
      <c r="AL8" s="54" t="e">
        <f>1/AB18</f>
        <v>#N/A</v>
      </c>
      <c r="AM8" s="55" t="e">
        <f t="shared" si="1"/>
        <v>#N/A</v>
      </c>
      <c r="AN8" s="42"/>
      <c r="AO8" s="42"/>
      <c r="AP8" s="42"/>
      <c r="AQ8" s="42"/>
      <c r="AR8" s="42"/>
      <c r="AS8" s="42"/>
      <c r="AT8" s="42"/>
      <c r="AU8" s="42"/>
      <c r="AV8" s="42"/>
      <c r="AW8" s="42"/>
      <c r="AX8" s="42"/>
      <c r="AY8" s="42"/>
      <c r="AZ8" s="42"/>
      <c r="BA8" s="42"/>
      <c r="BB8" s="42"/>
      <c r="BC8" s="42"/>
      <c r="BD8" s="42"/>
    </row>
    <row r="9" spans="1:56" s="43" customFormat="1" ht="63" customHeight="1">
      <c r="A9" s="42"/>
      <c r="B9" s="46"/>
      <c r="C9" s="48"/>
      <c r="D9" s="42"/>
      <c r="E9" s="38" t="s">
        <v>313</v>
      </c>
      <c r="F9" s="8"/>
      <c r="G9" s="8"/>
      <c r="H9" s="10"/>
      <c r="I9" s="9"/>
      <c r="J9" s="9"/>
      <c r="K9" s="9"/>
      <c r="L9" s="9"/>
      <c r="M9" s="9"/>
      <c r="N9" s="9"/>
      <c r="O9" s="9"/>
      <c r="P9" s="9"/>
      <c r="Q9" s="9"/>
      <c r="R9" s="9"/>
      <c r="S9" s="8" t="e">
        <f t="shared" si="0"/>
        <v>#N/A</v>
      </c>
      <c r="T9" s="52" t="e">
        <f>RANK(S9,$S6:$S18,0)</f>
        <v>#N/A</v>
      </c>
      <c r="U9" s="47"/>
      <c r="V9" s="42"/>
      <c r="W9" s="42" t="s">
        <v>21</v>
      </c>
      <c r="X9" s="42">
        <v>0.2</v>
      </c>
      <c r="Y9" s="42"/>
      <c r="Z9" s="56" t="e">
        <f>VLOOKUP(F9, Table28378[#All], 2, 0)</f>
        <v>#N/A</v>
      </c>
      <c r="AA9" s="56" t="e">
        <f>VLOOKUP(G9, Table28378[#All], 2, 0)</f>
        <v>#N/A</v>
      </c>
      <c r="AB9" s="56" t="e">
        <f>VLOOKUP(H9, Table28378[#All], 2, 0)</f>
        <v>#N/A</v>
      </c>
      <c r="AC9" s="53"/>
      <c r="AD9" s="54" t="e">
        <f>1/AC10</f>
        <v>#N/A</v>
      </c>
      <c r="AE9" s="54" t="e">
        <f>1/AC11</f>
        <v>#N/A</v>
      </c>
      <c r="AF9" s="54" t="e">
        <f>1/AC12</f>
        <v>#N/A</v>
      </c>
      <c r="AG9" s="54" t="e">
        <f>1/AC13</f>
        <v>#N/A</v>
      </c>
      <c r="AH9" s="54" t="e">
        <f>1/AC14</f>
        <v>#N/A</v>
      </c>
      <c r="AI9" s="54" t="e">
        <f>1/AC15</f>
        <v>#N/A</v>
      </c>
      <c r="AJ9" s="54" t="e">
        <f>1/AC16</f>
        <v>#N/A</v>
      </c>
      <c r="AK9" s="54" t="e">
        <f>1/AC17</f>
        <v>#N/A</v>
      </c>
      <c r="AL9" s="54" t="e">
        <f>1/AC18</f>
        <v>#N/A</v>
      </c>
      <c r="AM9" s="55" t="e">
        <f t="shared" si="1"/>
        <v>#N/A</v>
      </c>
      <c r="AN9" s="42"/>
      <c r="AO9" s="42"/>
      <c r="AP9" s="42"/>
      <c r="AQ9" s="42"/>
      <c r="AR9" s="42"/>
      <c r="AS9" s="42"/>
      <c r="AT9" s="42"/>
      <c r="AU9" s="42"/>
      <c r="AV9" s="42"/>
      <c r="AW9" s="42"/>
      <c r="AX9" s="42"/>
      <c r="AY9" s="42"/>
      <c r="AZ9" s="42"/>
      <c r="BA9" s="42"/>
      <c r="BB9" s="42"/>
      <c r="BC9" s="42"/>
      <c r="BD9" s="42"/>
    </row>
    <row r="10" spans="1:56" s="43" customFormat="1" ht="58.5" customHeight="1">
      <c r="A10" s="42"/>
      <c r="B10" s="46"/>
      <c r="C10" s="48"/>
      <c r="D10" s="42"/>
      <c r="E10" s="38" t="s">
        <v>82</v>
      </c>
      <c r="F10" s="10"/>
      <c r="G10" s="8"/>
      <c r="H10" s="8"/>
      <c r="I10" s="10"/>
      <c r="J10" s="11"/>
      <c r="K10" s="11"/>
      <c r="L10" s="11"/>
      <c r="M10" s="11"/>
      <c r="N10" s="11"/>
      <c r="O10" s="11"/>
      <c r="P10" s="11"/>
      <c r="Q10" s="11"/>
      <c r="R10" s="11"/>
      <c r="S10" s="8" t="e">
        <f t="shared" si="0"/>
        <v>#N/A</v>
      </c>
      <c r="T10" s="52" t="e">
        <f>RANK(S10,$S6:$S18,0)</f>
        <v>#N/A</v>
      </c>
      <c r="U10" s="47"/>
      <c r="V10" s="42"/>
      <c r="W10" s="42" t="s">
        <v>22</v>
      </c>
      <c r="X10" s="42">
        <v>0.1</v>
      </c>
      <c r="Y10" s="42"/>
      <c r="Z10" s="56" t="e">
        <f>VLOOKUP(F10, Table28378[#All], 2, 0)</f>
        <v>#N/A</v>
      </c>
      <c r="AA10" s="56" t="e">
        <f>VLOOKUP(G10, Table28378[#All], 2, 0)</f>
        <v>#N/A</v>
      </c>
      <c r="AB10" s="56" t="e">
        <f>VLOOKUP(H10, Table28378[#All], 2, 0)</f>
        <v>#N/A</v>
      </c>
      <c r="AC10" s="56" t="e">
        <f>VLOOKUP(I10, Table28378[#All], 2, 0)</f>
        <v>#N/A</v>
      </c>
      <c r="AD10" s="53"/>
      <c r="AE10" s="54" t="e">
        <f>1/AD11</f>
        <v>#N/A</v>
      </c>
      <c r="AF10" s="54" t="e">
        <f>1/AD12</f>
        <v>#N/A</v>
      </c>
      <c r="AG10" s="54" t="e">
        <f>1/AD13</f>
        <v>#N/A</v>
      </c>
      <c r="AH10" s="54" t="e">
        <f>1/AD14</f>
        <v>#N/A</v>
      </c>
      <c r="AI10" s="54" t="e">
        <f>1/AD15</f>
        <v>#N/A</v>
      </c>
      <c r="AJ10" s="54" t="e">
        <f>1/AD16</f>
        <v>#N/A</v>
      </c>
      <c r="AK10" s="54" t="e">
        <f>1/AD17</f>
        <v>#N/A</v>
      </c>
      <c r="AL10" s="54" t="e">
        <f>1/AD18</f>
        <v>#N/A</v>
      </c>
      <c r="AM10" s="55" t="e">
        <f t="shared" si="1"/>
        <v>#N/A</v>
      </c>
      <c r="AN10" s="42"/>
      <c r="AO10" s="42"/>
      <c r="AP10" s="42"/>
      <c r="AQ10" s="42"/>
      <c r="AR10" s="42"/>
      <c r="AS10" s="42"/>
      <c r="AT10" s="42"/>
      <c r="AU10" s="42"/>
      <c r="AV10" s="42"/>
      <c r="AW10" s="42"/>
      <c r="AX10" s="42"/>
      <c r="AY10" s="42"/>
      <c r="AZ10" s="42"/>
      <c r="BA10" s="42"/>
      <c r="BB10" s="42"/>
      <c r="BC10" s="42"/>
      <c r="BD10" s="42"/>
    </row>
    <row r="11" spans="1:56" s="43" customFormat="1" ht="36.75" customHeight="1">
      <c r="A11" s="42"/>
      <c r="B11" s="46"/>
      <c r="C11" s="48"/>
      <c r="D11" s="42"/>
      <c r="E11" s="38" t="s">
        <v>83</v>
      </c>
      <c r="F11" s="8"/>
      <c r="G11" s="8"/>
      <c r="H11" s="10"/>
      <c r="I11" s="8"/>
      <c r="J11" s="8"/>
      <c r="K11" s="11"/>
      <c r="L11" s="11"/>
      <c r="M11" s="11"/>
      <c r="N11" s="11"/>
      <c r="O11" s="11"/>
      <c r="P11" s="11"/>
      <c r="Q11" s="11"/>
      <c r="R11" s="11"/>
      <c r="S11" s="8" t="e">
        <f t="shared" si="0"/>
        <v>#N/A</v>
      </c>
      <c r="T11" s="52" t="e">
        <f>RANK(S11,$S6:$S18,0)</f>
        <v>#N/A</v>
      </c>
      <c r="U11" s="47"/>
      <c r="V11" s="42"/>
      <c r="W11" s="42"/>
      <c r="X11" s="42"/>
      <c r="Y11" s="42"/>
      <c r="Z11" s="56" t="e">
        <f>VLOOKUP(F11, Table28378[#All], 2, 0)</f>
        <v>#N/A</v>
      </c>
      <c r="AA11" s="56" t="e">
        <f>VLOOKUP(G11, Table28378[#All], 2, 0)</f>
        <v>#N/A</v>
      </c>
      <c r="AB11" s="56" t="e">
        <f>VLOOKUP(H11, Table28378[#All], 2, 0)</f>
        <v>#N/A</v>
      </c>
      <c r="AC11" s="56" t="e">
        <f>VLOOKUP(I11, Table28378[#All], 2, 0)</f>
        <v>#N/A</v>
      </c>
      <c r="AD11" s="56" t="e">
        <f>VLOOKUP(J11, Table28378[#All], 2, 0)</f>
        <v>#N/A</v>
      </c>
      <c r="AE11" s="53"/>
      <c r="AF11" s="54" t="e">
        <f>1/AE12</f>
        <v>#N/A</v>
      </c>
      <c r="AG11" s="54" t="e">
        <f>1/AE13</f>
        <v>#N/A</v>
      </c>
      <c r="AH11" s="54" t="e">
        <f>1/AE14</f>
        <v>#N/A</v>
      </c>
      <c r="AI11" s="54" t="e">
        <f>1/AE15</f>
        <v>#N/A</v>
      </c>
      <c r="AJ11" s="54" t="e">
        <f t="shared" ref="AJ11" si="2">1/AE16</f>
        <v>#N/A</v>
      </c>
      <c r="AK11" s="54" t="e">
        <f>1/AE17</f>
        <v>#N/A</v>
      </c>
      <c r="AL11" s="54" t="e">
        <f>1/AE18</f>
        <v>#N/A</v>
      </c>
      <c r="AM11" s="55" t="e">
        <f t="shared" si="1"/>
        <v>#N/A</v>
      </c>
      <c r="AN11" s="42"/>
      <c r="AO11" s="42"/>
      <c r="AP11" s="42"/>
      <c r="AQ11" s="42"/>
      <c r="AR11" s="42"/>
      <c r="AS11" s="42"/>
      <c r="AT11" s="42"/>
      <c r="AU11" s="42"/>
      <c r="AV11" s="42"/>
      <c r="AW11" s="42"/>
      <c r="AX11" s="42"/>
      <c r="AY11" s="42"/>
      <c r="AZ11" s="42"/>
      <c r="BA11" s="42"/>
      <c r="BB11" s="42"/>
      <c r="BC11" s="42"/>
      <c r="BD11" s="42"/>
    </row>
    <row r="12" spans="1:56" s="43" customFormat="1" ht="35.1" customHeight="1">
      <c r="A12" s="42"/>
      <c r="B12" s="46"/>
      <c r="C12" s="48"/>
      <c r="D12" s="42"/>
      <c r="E12" s="38" t="s">
        <v>84</v>
      </c>
      <c r="F12" s="10"/>
      <c r="G12" s="8"/>
      <c r="H12" s="8"/>
      <c r="I12" s="8"/>
      <c r="J12" s="8"/>
      <c r="K12" s="8"/>
      <c r="L12" s="11"/>
      <c r="M12" s="11"/>
      <c r="N12" s="11"/>
      <c r="O12" s="11"/>
      <c r="P12" s="11"/>
      <c r="Q12" s="11"/>
      <c r="R12" s="11"/>
      <c r="S12" s="8" t="e">
        <f t="shared" si="0"/>
        <v>#N/A</v>
      </c>
      <c r="T12" s="52" t="e">
        <f>RANK(S12,$S6:$S18,0)</f>
        <v>#N/A</v>
      </c>
      <c r="U12" s="47"/>
      <c r="V12" s="42"/>
      <c r="W12" s="42"/>
      <c r="X12" s="42"/>
      <c r="Y12" s="42"/>
      <c r="Z12" s="56" t="e">
        <f>VLOOKUP(F12, Table28378[#All], 2, 0)</f>
        <v>#N/A</v>
      </c>
      <c r="AA12" s="56" t="e">
        <f>VLOOKUP(G12, Table28378[#All], 2, 0)</f>
        <v>#N/A</v>
      </c>
      <c r="AB12" s="56" t="e">
        <f>VLOOKUP(H12, Table28378[#All], 2, 0)</f>
        <v>#N/A</v>
      </c>
      <c r="AC12" s="56" t="e">
        <f>VLOOKUP(I12, Table28378[#All], 2, 0)</f>
        <v>#N/A</v>
      </c>
      <c r="AD12" s="56" t="e">
        <f>VLOOKUP(J12, Table28378[#All], 2, 0)</f>
        <v>#N/A</v>
      </c>
      <c r="AE12" s="56" t="e">
        <f>VLOOKUP(K12, Table28378[#All], 2, 0)</f>
        <v>#N/A</v>
      </c>
      <c r="AF12" s="53"/>
      <c r="AG12" s="54" t="e">
        <f>1/AF13</f>
        <v>#N/A</v>
      </c>
      <c r="AH12" s="54" t="e">
        <f>1/AF14</f>
        <v>#N/A</v>
      </c>
      <c r="AI12" s="54" t="e">
        <f>1/AF15</f>
        <v>#N/A</v>
      </c>
      <c r="AJ12" s="54" t="e">
        <f>1/AF16</f>
        <v>#N/A</v>
      </c>
      <c r="AK12" s="54" t="e">
        <f t="shared" ref="AK12" si="3">1/AF17</f>
        <v>#N/A</v>
      </c>
      <c r="AL12" s="54" t="e">
        <f>1/AF18</f>
        <v>#N/A</v>
      </c>
      <c r="AM12" s="55" t="e">
        <f t="shared" si="1"/>
        <v>#N/A</v>
      </c>
      <c r="AN12" s="42"/>
      <c r="AO12" s="42"/>
      <c r="AP12" s="42"/>
      <c r="AQ12" s="42"/>
      <c r="AR12" s="42"/>
      <c r="AS12" s="42"/>
      <c r="AT12" s="42"/>
      <c r="AU12" s="42"/>
      <c r="AV12" s="42"/>
      <c r="AW12" s="42"/>
      <c r="AX12" s="42"/>
      <c r="AY12" s="42"/>
      <c r="AZ12" s="42"/>
      <c r="BA12" s="42"/>
      <c r="BB12" s="42"/>
      <c r="BC12" s="42"/>
      <c r="BD12" s="42"/>
    </row>
    <row r="13" spans="1:56" s="43" customFormat="1" ht="60.4" customHeight="1">
      <c r="A13" s="42"/>
      <c r="B13" s="46"/>
      <c r="C13" s="48"/>
      <c r="D13" s="42"/>
      <c r="E13" s="38" t="s">
        <v>85</v>
      </c>
      <c r="F13" s="10"/>
      <c r="G13" s="10"/>
      <c r="H13" s="10"/>
      <c r="I13" s="8"/>
      <c r="J13" s="8"/>
      <c r="K13" s="10"/>
      <c r="L13" s="10"/>
      <c r="M13" s="12"/>
      <c r="N13" s="12"/>
      <c r="O13" s="12"/>
      <c r="P13" s="12"/>
      <c r="Q13" s="12"/>
      <c r="R13" s="12"/>
      <c r="S13" s="8" t="e">
        <f t="shared" si="0"/>
        <v>#N/A</v>
      </c>
      <c r="T13" s="52" t="e">
        <f>RANK(S13,$S6:$S18,0)</f>
        <v>#N/A</v>
      </c>
      <c r="U13" s="47"/>
      <c r="V13" s="42"/>
      <c r="W13" s="42"/>
      <c r="X13" s="42"/>
      <c r="Y13" s="42"/>
      <c r="Z13" s="56" t="e">
        <f>VLOOKUP(F13, Table28378[#All], 2, 0)</f>
        <v>#N/A</v>
      </c>
      <c r="AA13" s="56" t="e">
        <f>VLOOKUP(G13, Table28378[#All], 2, 0)</f>
        <v>#N/A</v>
      </c>
      <c r="AB13" s="56" t="e">
        <f>VLOOKUP(H13, Table28378[#All], 2, 0)</f>
        <v>#N/A</v>
      </c>
      <c r="AC13" s="56" t="e">
        <f>VLOOKUP(I13, Table28378[#All], 2, 0)</f>
        <v>#N/A</v>
      </c>
      <c r="AD13" s="56" t="e">
        <f>VLOOKUP(J13, Table28378[#All], 2, 0)</f>
        <v>#N/A</v>
      </c>
      <c r="AE13" s="56" t="e">
        <f>VLOOKUP(K13, Table28378[#All], 2, 0)</f>
        <v>#N/A</v>
      </c>
      <c r="AF13" s="56" t="e">
        <f>VLOOKUP(L13, Table28378[#All], 2, 0)</f>
        <v>#N/A</v>
      </c>
      <c r="AG13" s="66"/>
      <c r="AH13" s="67" t="e">
        <f>1/AG14</f>
        <v>#N/A</v>
      </c>
      <c r="AI13" s="54" t="e">
        <f>1/AG15</f>
        <v>#N/A</v>
      </c>
      <c r="AJ13" s="54" t="e">
        <f>1/AG16</f>
        <v>#N/A</v>
      </c>
      <c r="AK13" s="54" t="e">
        <f>1/AG17</f>
        <v>#N/A</v>
      </c>
      <c r="AL13" s="54" t="e">
        <f>1/AG18</f>
        <v>#N/A</v>
      </c>
      <c r="AM13" s="55" t="e">
        <f t="shared" si="1"/>
        <v>#N/A</v>
      </c>
      <c r="AN13" s="42"/>
      <c r="AO13" s="42"/>
      <c r="AP13" s="42"/>
      <c r="AQ13" s="42"/>
      <c r="AR13" s="42"/>
      <c r="AS13" s="42"/>
      <c r="AT13" s="42"/>
      <c r="AU13" s="42"/>
      <c r="AV13" s="42"/>
      <c r="AW13" s="42"/>
      <c r="AX13" s="42"/>
      <c r="AY13" s="42"/>
      <c r="AZ13" s="42"/>
      <c r="BA13" s="42"/>
      <c r="BB13" s="42"/>
      <c r="BC13" s="42"/>
      <c r="BD13" s="42"/>
    </row>
    <row r="14" spans="1:56" s="43" customFormat="1" ht="62.85" customHeight="1" thickBot="1">
      <c r="A14" s="42"/>
      <c r="B14" s="46"/>
      <c r="C14" s="61"/>
      <c r="D14" s="42"/>
      <c r="E14" s="38" t="s">
        <v>314</v>
      </c>
      <c r="F14" s="8"/>
      <c r="G14" s="8"/>
      <c r="H14" s="10"/>
      <c r="I14" s="8"/>
      <c r="J14" s="8"/>
      <c r="K14" s="8"/>
      <c r="L14" s="10"/>
      <c r="M14" s="10"/>
      <c r="N14" s="12"/>
      <c r="O14" s="12"/>
      <c r="P14" s="12"/>
      <c r="Q14" s="12"/>
      <c r="R14" s="12"/>
      <c r="S14" s="8" t="e">
        <f t="shared" si="0"/>
        <v>#N/A</v>
      </c>
      <c r="T14" s="52" t="e">
        <f>RANK(S14,$S6:$S18,0)</f>
        <v>#N/A</v>
      </c>
      <c r="U14" s="47"/>
      <c r="V14" s="42"/>
      <c r="W14" s="42"/>
      <c r="X14" s="42"/>
      <c r="Y14" s="42"/>
      <c r="Z14" s="56" t="e">
        <f>VLOOKUP(F14, Table28378[#All], 2, 0)</f>
        <v>#N/A</v>
      </c>
      <c r="AA14" s="56" t="e">
        <f>VLOOKUP(G14, Table28378[#All], 2, 0)</f>
        <v>#N/A</v>
      </c>
      <c r="AB14" s="56" t="e">
        <f>VLOOKUP(H14, Table28378[#All], 2, 0)</f>
        <v>#N/A</v>
      </c>
      <c r="AC14" s="56" t="e">
        <f>VLOOKUP(I14, Table28378[#All], 2, 0)</f>
        <v>#N/A</v>
      </c>
      <c r="AD14" s="56" t="e">
        <f>VLOOKUP(J14, Table28378[#All], 2, 0)</f>
        <v>#N/A</v>
      </c>
      <c r="AE14" s="56" t="e">
        <f>VLOOKUP(K14, Table28378[#All], 2, 0)</f>
        <v>#N/A</v>
      </c>
      <c r="AF14" s="56" t="e">
        <f>VLOOKUP(L14, Table28378[#All], 2, 0)</f>
        <v>#N/A</v>
      </c>
      <c r="AG14" s="56" t="e">
        <f>VLOOKUP(M14, Table28378[#All], 2, 0)</f>
        <v>#N/A</v>
      </c>
      <c r="AH14" s="66"/>
      <c r="AI14" s="54" t="e">
        <f>1/AH15</f>
        <v>#N/A</v>
      </c>
      <c r="AJ14" s="54" t="e">
        <f>1/AH16</f>
        <v>#N/A</v>
      </c>
      <c r="AK14" s="54" t="e">
        <f>1/AH17</f>
        <v>#N/A</v>
      </c>
      <c r="AL14" s="54" t="e">
        <f>1/AH18</f>
        <v>#N/A</v>
      </c>
      <c r="AM14" s="55" t="e">
        <f t="shared" si="1"/>
        <v>#N/A</v>
      </c>
      <c r="AN14" s="42"/>
      <c r="AO14" s="42"/>
      <c r="AP14" s="42"/>
      <c r="AQ14" s="42"/>
      <c r="AR14" s="42"/>
      <c r="AS14" s="42"/>
      <c r="AT14" s="42"/>
      <c r="AU14" s="42"/>
      <c r="AV14" s="42"/>
      <c r="AW14" s="42"/>
      <c r="AX14" s="42"/>
      <c r="AY14" s="42"/>
      <c r="AZ14" s="42"/>
      <c r="BA14" s="42"/>
      <c r="BB14" s="42"/>
      <c r="BC14" s="42"/>
      <c r="BD14" s="42"/>
    </row>
    <row r="15" spans="1:56" s="43" customFormat="1" ht="60" customHeight="1">
      <c r="A15" s="42"/>
      <c r="B15" s="46"/>
      <c r="C15" s="69"/>
      <c r="D15" s="42"/>
      <c r="E15" s="38" t="s">
        <v>315</v>
      </c>
      <c r="F15" s="10"/>
      <c r="G15" s="10"/>
      <c r="H15" s="8"/>
      <c r="I15" s="10"/>
      <c r="J15" s="8"/>
      <c r="K15" s="10"/>
      <c r="L15" s="8"/>
      <c r="M15" s="10"/>
      <c r="N15" s="8"/>
      <c r="O15" s="12"/>
      <c r="P15" s="12"/>
      <c r="Q15" s="12"/>
      <c r="R15" s="12"/>
      <c r="S15" s="8" t="e">
        <f t="shared" si="0"/>
        <v>#N/A</v>
      </c>
      <c r="T15" s="52" t="e">
        <f>RANK(S15,$S6:$S18,0)</f>
        <v>#N/A</v>
      </c>
      <c r="U15" s="47"/>
      <c r="V15" s="42"/>
      <c r="W15" s="42"/>
      <c r="X15" s="42"/>
      <c r="Y15" s="42"/>
      <c r="Z15" s="56" t="e">
        <f>VLOOKUP(F15, Table28378[#All], 2, 0)</f>
        <v>#N/A</v>
      </c>
      <c r="AA15" s="56" t="e">
        <f>VLOOKUP(G15, Table28378[#All], 2, 0)</f>
        <v>#N/A</v>
      </c>
      <c r="AB15" s="56" t="e">
        <f>VLOOKUP(H15, Table28378[#All], 2, 0)</f>
        <v>#N/A</v>
      </c>
      <c r="AC15" s="56" t="e">
        <f>VLOOKUP(I15, Table28378[#All], 2, 0)</f>
        <v>#N/A</v>
      </c>
      <c r="AD15" s="56" t="e">
        <f>VLOOKUP(J15, Table28378[#All], 2, 0)</f>
        <v>#N/A</v>
      </c>
      <c r="AE15" s="56" t="e">
        <f>VLOOKUP(K15, Table28378[#All], 2, 0)</f>
        <v>#N/A</v>
      </c>
      <c r="AF15" s="56" t="e">
        <f>VLOOKUP(L15, Table28378[#All], 2, 0)</f>
        <v>#N/A</v>
      </c>
      <c r="AG15" s="56" t="e">
        <f>VLOOKUP(M15, Table28378[#All], 2, 0)</f>
        <v>#N/A</v>
      </c>
      <c r="AH15" s="56" t="e">
        <f>VLOOKUP(N15, Table28378[#All], 2, 0)</f>
        <v>#N/A</v>
      </c>
      <c r="AI15" s="58"/>
      <c r="AJ15" s="54" t="e">
        <f>1/AI16</f>
        <v>#N/A</v>
      </c>
      <c r="AK15" s="54" t="e">
        <f>1/AI17</f>
        <v>#N/A</v>
      </c>
      <c r="AL15" s="54" t="e">
        <f>1/AI18</f>
        <v>#N/A</v>
      </c>
      <c r="AM15" s="55" t="e">
        <f t="shared" si="1"/>
        <v>#N/A</v>
      </c>
      <c r="AN15" s="42"/>
      <c r="AO15" s="42"/>
      <c r="AP15" s="42"/>
      <c r="AQ15" s="42"/>
      <c r="AR15" s="42"/>
      <c r="AS15" s="42"/>
      <c r="AT15" s="42"/>
      <c r="AU15" s="42"/>
      <c r="AV15" s="42"/>
      <c r="AW15" s="42"/>
      <c r="AX15" s="42"/>
      <c r="AY15" s="42"/>
      <c r="AZ15" s="42"/>
      <c r="BA15" s="42"/>
      <c r="BB15" s="42"/>
      <c r="BC15" s="42"/>
      <c r="BD15" s="42"/>
    </row>
    <row r="16" spans="1:56" s="43" customFormat="1" ht="65.45" customHeight="1">
      <c r="A16" s="42"/>
      <c r="B16" s="46"/>
      <c r="C16" s="69"/>
      <c r="D16" s="42"/>
      <c r="E16" s="38" t="s">
        <v>316</v>
      </c>
      <c r="F16" s="8"/>
      <c r="G16" s="10"/>
      <c r="H16" s="10"/>
      <c r="I16" s="8"/>
      <c r="J16" s="8"/>
      <c r="K16" s="8"/>
      <c r="L16" s="10"/>
      <c r="M16" s="8"/>
      <c r="N16" s="8"/>
      <c r="O16" s="8"/>
      <c r="P16" s="12"/>
      <c r="Q16" s="12"/>
      <c r="R16" s="12"/>
      <c r="S16" s="8" t="e">
        <f t="shared" si="0"/>
        <v>#N/A</v>
      </c>
      <c r="T16" s="52" t="e">
        <f>RANK(S16,$S6:$S18,0)</f>
        <v>#N/A</v>
      </c>
      <c r="U16" s="47"/>
      <c r="V16" s="42"/>
      <c r="W16" s="42"/>
      <c r="X16" s="42"/>
      <c r="Y16" s="42"/>
      <c r="Z16" s="56" t="e">
        <f>VLOOKUP(F16, Table28378[#All], 2, 0)</f>
        <v>#N/A</v>
      </c>
      <c r="AA16" s="56" t="e">
        <f>VLOOKUP(G16, Table28378[#All], 2, 0)</f>
        <v>#N/A</v>
      </c>
      <c r="AB16" s="56" t="e">
        <f>VLOOKUP(H16, Table28378[#All], 2, 0)</f>
        <v>#N/A</v>
      </c>
      <c r="AC16" s="56" t="e">
        <f>VLOOKUP(I16, Table28378[#All], 2, 0)</f>
        <v>#N/A</v>
      </c>
      <c r="AD16" s="56" t="e">
        <f>VLOOKUP(J16, Table28378[#All], 2, 0)</f>
        <v>#N/A</v>
      </c>
      <c r="AE16" s="56" t="e">
        <f>VLOOKUP(K16, Table28378[#All], 2, 0)</f>
        <v>#N/A</v>
      </c>
      <c r="AF16" s="56" t="e">
        <f>VLOOKUP(L16, Table28378[#All], 2, 0)</f>
        <v>#N/A</v>
      </c>
      <c r="AG16" s="56" t="e">
        <f>VLOOKUP(M16, Table28378[#All], 2, 0)</f>
        <v>#N/A</v>
      </c>
      <c r="AH16" s="56" t="e">
        <f>VLOOKUP(N16, Table28378[#All], 2, 0)</f>
        <v>#N/A</v>
      </c>
      <c r="AI16" s="56" t="e">
        <f>VLOOKUP(O16, Table28378[#All], 2, 0)</f>
        <v>#N/A</v>
      </c>
      <c r="AJ16" s="58"/>
      <c r="AK16" s="54" t="e">
        <f>1/AJ17</f>
        <v>#N/A</v>
      </c>
      <c r="AL16" s="54" t="e">
        <f>1/AJ18</f>
        <v>#N/A</v>
      </c>
      <c r="AM16" s="55" t="e">
        <f t="shared" si="1"/>
        <v>#N/A</v>
      </c>
      <c r="AN16" s="42"/>
      <c r="AO16" s="42"/>
      <c r="AP16" s="42"/>
      <c r="AQ16" s="42"/>
      <c r="AR16" s="42"/>
      <c r="AS16" s="42"/>
      <c r="AT16" s="42"/>
      <c r="AU16" s="42"/>
      <c r="AV16" s="42"/>
      <c r="AW16" s="42"/>
      <c r="AX16" s="42"/>
      <c r="AY16" s="42"/>
      <c r="AZ16" s="42"/>
      <c r="BA16" s="42"/>
      <c r="BB16" s="42"/>
      <c r="BC16" s="42"/>
      <c r="BD16" s="42"/>
    </row>
    <row r="17" spans="1:56" s="43" customFormat="1" ht="69.95" customHeight="1">
      <c r="A17" s="42"/>
      <c r="B17" s="46"/>
      <c r="C17" s="69"/>
      <c r="D17" s="42"/>
      <c r="E17" s="38" t="s">
        <v>317</v>
      </c>
      <c r="F17" s="8"/>
      <c r="G17" s="8"/>
      <c r="H17" s="8"/>
      <c r="I17" s="8"/>
      <c r="J17" s="8"/>
      <c r="K17" s="10"/>
      <c r="L17" s="10"/>
      <c r="M17" s="10"/>
      <c r="N17" s="10"/>
      <c r="O17" s="8"/>
      <c r="P17" s="8"/>
      <c r="Q17" s="9"/>
      <c r="R17" s="9"/>
      <c r="S17" s="8" t="e">
        <f t="shared" si="0"/>
        <v>#N/A</v>
      </c>
      <c r="T17" s="52" t="e">
        <f>RANK(S17,$S6:$S18,0)</f>
        <v>#N/A</v>
      </c>
      <c r="U17" s="47"/>
      <c r="V17" s="42"/>
      <c r="W17" s="42"/>
      <c r="X17" s="42"/>
      <c r="Y17" s="42"/>
      <c r="Z17" s="56" t="e">
        <f>VLOOKUP(F17, Table28378[#All], 2, 0)</f>
        <v>#N/A</v>
      </c>
      <c r="AA17" s="56" t="e">
        <f>VLOOKUP(G17, Table28378[#All], 2, 0)</f>
        <v>#N/A</v>
      </c>
      <c r="AB17" s="56" t="e">
        <f>VLOOKUP(H17, Table28378[#All], 2, 0)</f>
        <v>#N/A</v>
      </c>
      <c r="AC17" s="56" t="e">
        <f>VLOOKUP(I17, Table28378[#All], 2, 0)</f>
        <v>#N/A</v>
      </c>
      <c r="AD17" s="56" t="e">
        <f>VLOOKUP(J17, Table28378[#All], 2, 0)</f>
        <v>#N/A</v>
      </c>
      <c r="AE17" s="56" t="e">
        <f>VLOOKUP(K17, Table28378[#All], 2, 0)</f>
        <v>#N/A</v>
      </c>
      <c r="AF17" s="56" t="e">
        <f>VLOOKUP(L17, Table28378[#All], 2, 0)</f>
        <v>#N/A</v>
      </c>
      <c r="AG17" s="56" t="e">
        <f>VLOOKUP(M17, Table28378[#All], 2, 0)</f>
        <v>#N/A</v>
      </c>
      <c r="AH17" s="56" t="e">
        <f>VLOOKUP(N17, Table28378[#All], 2, 0)</f>
        <v>#N/A</v>
      </c>
      <c r="AI17" s="56" t="e">
        <f>VLOOKUP(O17, Table28378[#All], 2, 0)</f>
        <v>#N/A</v>
      </c>
      <c r="AJ17" s="56" t="e">
        <f>VLOOKUP(P17, Table28378[#All], 2, 0)</f>
        <v>#N/A</v>
      </c>
      <c r="AK17" s="58"/>
      <c r="AL17" s="68" t="e">
        <f>1/AK18</f>
        <v>#N/A</v>
      </c>
      <c r="AM17" s="55" t="e">
        <f t="shared" si="1"/>
        <v>#N/A</v>
      </c>
      <c r="AN17" s="42"/>
      <c r="AO17" s="42"/>
      <c r="AP17" s="42"/>
      <c r="AQ17" s="42"/>
      <c r="AR17" s="42"/>
      <c r="AS17" s="42"/>
      <c r="AT17" s="42"/>
      <c r="AU17" s="42"/>
      <c r="AV17" s="42"/>
      <c r="AW17" s="42"/>
      <c r="AX17" s="42"/>
      <c r="AY17" s="42"/>
      <c r="AZ17" s="42"/>
      <c r="BA17" s="42"/>
      <c r="BB17" s="42"/>
      <c r="BC17" s="42"/>
      <c r="BD17" s="42"/>
    </row>
    <row r="18" spans="1:56" s="43" customFormat="1" ht="79.900000000000006" customHeight="1" thickBot="1">
      <c r="A18" s="42"/>
      <c r="B18" s="46"/>
      <c r="C18" s="42"/>
      <c r="D18" s="42"/>
      <c r="E18" s="39" t="s">
        <v>320</v>
      </c>
      <c r="F18" s="27"/>
      <c r="G18" s="27"/>
      <c r="H18" s="27"/>
      <c r="I18" s="27"/>
      <c r="J18" s="27"/>
      <c r="K18" s="27"/>
      <c r="L18" s="27"/>
      <c r="M18" s="27"/>
      <c r="N18" s="27"/>
      <c r="O18" s="27"/>
      <c r="P18" s="27"/>
      <c r="Q18" s="27"/>
      <c r="R18" s="6"/>
      <c r="S18" s="13" t="e">
        <f t="shared" si="0"/>
        <v>#N/A</v>
      </c>
      <c r="T18" s="57" t="e">
        <f>RANK(S18,$S6:$S18,0)</f>
        <v>#N/A</v>
      </c>
      <c r="U18" s="47"/>
      <c r="V18" s="42"/>
      <c r="W18" s="42"/>
      <c r="X18" s="42"/>
      <c r="Y18" s="42"/>
      <c r="Z18" s="56" t="e">
        <f>VLOOKUP(F18, Table28378[#All], 2, 0)</f>
        <v>#N/A</v>
      </c>
      <c r="AA18" s="56" t="e">
        <f>VLOOKUP(G18, Table28378[#All], 2, 0)</f>
        <v>#N/A</v>
      </c>
      <c r="AB18" s="56" t="e">
        <f>VLOOKUP(H18, Table28378[#All], 2, 0)</f>
        <v>#N/A</v>
      </c>
      <c r="AC18" s="56" t="e">
        <f>VLOOKUP(I18, Table28378[#All], 2, 0)</f>
        <v>#N/A</v>
      </c>
      <c r="AD18" s="56" t="e">
        <f>VLOOKUP(J18, Table28378[#All], 2, 0)</f>
        <v>#N/A</v>
      </c>
      <c r="AE18" s="56" t="e">
        <f>VLOOKUP(K18, Table28378[#All], 2, 0)</f>
        <v>#N/A</v>
      </c>
      <c r="AF18" s="56" t="e">
        <f>VLOOKUP(L18, Table28378[#All], 2, 0)</f>
        <v>#N/A</v>
      </c>
      <c r="AG18" s="56" t="e">
        <f>VLOOKUP(M18, Table28378[#All], 2, 0)</f>
        <v>#N/A</v>
      </c>
      <c r="AH18" s="56" t="e">
        <f>VLOOKUP(N18, Table28378[#All], 2, 0)</f>
        <v>#N/A</v>
      </c>
      <c r="AI18" s="56" t="e">
        <f>VLOOKUP(O18, Table28378[#All], 2, 0)</f>
        <v>#N/A</v>
      </c>
      <c r="AJ18" s="56" t="e">
        <f>VLOOKUP(P18, Table28378[#All], 2, 0)</f>
        <v>#N/A</v>
      </c>
      <c r="AK18" s="56" t="e">
        <f>VLOOKUP(Q18, Table28378[#All], 2, 0)</f>
        <v>#N/A</v>
      </c>
      <c r="AL18" s="58"/>
      <c r="AM18" s="55" t="e">
        <f t="shared" si="1"/>
        <v>#N/A</v>
      </c>
      <c r="AN18" s="42"/>
      <c r="AO18" s="42"/>
      <c r="AP18" s="42"/>
      <c r="AQ18" s="42"/>
      <c r="AR18" s="42"/>
      <c r="AS18" s="42"/>
      <c r="AT18" s="42"/>
      <c r="AU18" s="42"/>
      <c r="AV18" s="42"/>
      <c r="AW18" s="42"/>
      <c r="AX18" s="42"/>
      <c r="AY18" s="42"/>
      <c r="AZ18" s="42"/>
      <c r="BA18" s="42"/>
      <c r="BB18" s="42"/>
      <c r="BC18" s="42"/>
      <c r="BD18" s="42"/>
    </row>
    <row r="19" spans="1:56" s="43" customFormat="1" ht="16.5" thickBot="1">
      <c r="A19" s="42"/>
      <c r="B19" s="62"/>
      <c r="C19" s="63"/>
      <c r="D19" s="63"/>
      <c r="E19" s="33"/>
      <c r="F19" s="33"/>
      <c r="G19" s="33"/>
      <c r="H19" s="33"/>
      <c r="I19" s="33"/>
      <c r="J19" s="33"/>
      <c r="K19" s="33"/>
      <c r="L19" s="33"/>
      <c r="M19" s="33"/>
      <c r="N19" s="33"/>
      <c r="O19" s="33"/>
      <c r="P19" s="33"/>
      <c r="Q19" s="33"/>
      <c r="R19" s="33"/>
      <c r="S19" s="63"/>
      <c r="T19" s="63"/>
      <c r="U19" s="64"/>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c r="AY19" s="42"/>
      <c r="AZ19" s="42"/>
      <c r="BA19" s="42"/>
      <c r="BB19" s="42"/>
      <c r="BC19" s="42"/>
      <c r="BD19" s="42"/>
    </row>
    <row r="20" spans="1:56" s="43" customFormat="1">
      <c r="A20" s="42"/>
      <c r="B20" s="42"/>
      <c r="C20" s="42"/>
      <c r="D20" s="42"/>
      <c r="E20" s="31"/>
      <c r="F20" s="31"/>
      <c r="G20" s="31"/>
      <c r="H20" s="31"/>
      <c r="I20" s="31"/>
      <c r="J20" s="31"/>
      <c r="K20" s="31"/>
      <c r="L20" s="31"/>
      <c r="M20" s="31"/>
      <c r="N20" s="31"/>
      <c r="O20" s="31"/>
      <c r="P20" s="31"/>
      <c r="Q20" s="31"/>
      <c r="R20" s="31"/>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c r="AY20" s="42"/>
      <c r="AZ20" s="42"/>
      <c r="BA20" s="42"/>
      <c r="BB20" s="42"/>
      <c r="BC20" s="42"/>
      <c r="BD20" s="42"/>
    </row>
    <row r="21" spans="1:56" s="43" customFormat="1">
      <c r="A21" s="42"/>
      <c r="B21" s="42"/>
      <c r="C21" s="42"/>
      <c r="D21" s="42"/>
      <c r="E21" s="31"/>
      <c r="F21" s="31"/>
      <c r="G21" s="31"/>
      <c r="H21" s="31"/>
      <c r="I21" s="31"/>
      <c r="J21" s="31"/>
      <c r="K21" s="31"/>
      <c r="L21" s="31"/>
      <c r="M21" s="31"/>
      <c r="N21" s="31"/>
      <c r="O21" s="31"/>
      <c r="P21" s="31"/>
      <c r="Q21" s="31"/>
      <c r="R21" s="31"/>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row>
    <row r="22" spans="1:56" s="43" customFormat="1">
      <c r="A22" s="42"/>
      <c r="B22" s="42"/>
      <c r="C22" s="42"/>
      <c r="D22" s="42"/>
      <c r="E22" s="31"/>
      <c r="F22" s="31"/>
      <c r="G22" s="31"/>
      <c r="H22" s="31"/>
      <c r="I22" s="31"/>
      <c r="J22" s="31"/>
      <c r="K22" s="31"/>
      <c r="L22" s="31"/>
      <c r="M22" s="31"/>
      <c r="N22" s="31"/>
      <c r="O22" s="31"/>
      <c r="P22" s="31"/>
      <c r="Q22" s="31"/>
      <c r="R22" s="31"/>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row>
    <row r="23" spans="1:56" s="43" customFormat="1">
      <c r="A23" s="42"/>
      <c r="B23" s="42"/>
      <c r="C23" s="42"/>
      <c r="D23" s="42"/>
      <c r="E23" s="31"/>
      <c r="F23" s="31"/>
      <c r="G23" s="31"/>
      <c r="H23" s="31"/>
      <c r="I23" s="31"/>
      <c r="J23" s="31"/>
      <c r="K23" s="31"/>
      <c r="L23" s="31"/>
      <c r="M23" s="31"/>
      <c r="N23" s="31"/>
      <c r="O23" s="31"/>
      <c r="P23" s="31"/>
      <c r="Q23" s="31"/>
      <c r="R23" s="31"/>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row>
    <row r="24" spans="1:56" s="43" customFormat="1">
      <c r="A24" s="42"/>
      <c r="B24" s="42"/>
      <c r="C24" s="42"/>
      <c r="D24" s="42"/>
      <c r="E24" s="31"/>
      <c r="F24" s="31"/>
      <c r="G24" s="31"/>
      <c r="H24" s="31"/>
      <c r="I24" s="31"/>
      <c r="J24" s="31"/>
      <c r="K24" s="31"/>
      <c r="L24" s="31"/>
      <c r="M24" s="31"/>
      <c r="N24" s="31"/>
      <c r="O24" s="31"/>
      <c r="P24" s="31"/>
      <c r="Q24" s="31"/>
      <c r="R24" s="31"/>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row>
    <row r="25" spans="1:56" s="43" customFormat="1">
      <c r="A25" s="42"/>
      <c r="B25" s="42"/>
      <c r="C25" s="42"/>
      <c r="D25" s="42"/>
      <c r="E25" s="31"/>
      <c r="F25" s="31"/>
      <c r="G25" s="31"/>
      <c r="H25" s="31"/>
      <c r="I25" s="31"/>
      <c r="J25" s="31"/>
      <c r="K25" s="31"/>
      <c r="L25" s="31"/>
      <c r="M25" s="31"/>
      <c r="N25" s="31"/>
      <c r="O25" s="31"/>
      <c r="P25" s="31"/>
      <c r="Q25" s="31"/>
      <c r="R25" s="31"/>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row>
    <row r="26" spans="1:56" s="43" customFormat="1">
      <c r="A26" s="42"/>
      <c r="B26" s="42"/>
      <c r="C26" s="42"/>
      <c r="D26" s="42"/>
      <c r="E26" s="31"/>
      <c r="F26" s="31"/>
      <c r="G26" s="31"/>
      <c r="H26" s="31"/>
      <c r="I26" s="31"/>
      <c r="J26" s="31"/>
      <c r="K26" s="31"/>
      <c r="L26" s="31"/>
      <c r="M26" s="31"/>
      <c r="N26" s="31"/>
      <c r="O26" s="31"/>
      <c r="P26" s="31"/>
      <c r="Q26" s="31"/>
      <c r="R26" s="31"/>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row>
    <row r="27" spans="1:56" s="60" customFormat="1">
      <c r="A27" s="42"/>
      <c r="B27" s="42"/>
      <c r="C27" s="42"/>
      <c r="D27" s="42"/>
      <c r="E27" s="31"/>
      <c r="F27" s="31"/>
      <c r="G27" s="31"/>
      <c r="H27" s="31"/>
      <c r="I27" s="31"/>
      <c r="J27" s="31"/>
      <c r="K27" s="31"/>
      <c r="L27" s="31"/>
      <c r="M27" s="31"/>
      <c r="N27" s="31"/>
      <c r="O27" s="31"/>
      <c r="P27" s="31"/>
      <c r="Q27" s="31"/>
      <c r="R27" s="31"/>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row>
    <row r="33" spans="5:5">
      <c r="E33" s="42"/>
    </row>
  </sheetData>
  <mergeCells count="2">
    <mergeCell ref="C2:T2"/>
    <mergeCell ref="E4:T4"/>
  </mergeCells>
  <dataValidations count="1">
    <dataValidation type="list" allowBlank="1" showInputMessage="1" showErrorMessage="1" sqref="J11:J17 F7:F17 K12:K17 L13:L17 I10:I17 M14:M16 N15:N16 O16 H9:H17 M17:P17 F18:Q18 G8:G17" xr:uid="{A6385148-3313-4F76-81A7-409337BBF75B}">
      <formula1>Scale</formula1>
    </dataValidation>
  </dataValidation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398EF-05E4-4677-8511-14CDF90DAF0A}">
  <dimension ref="A1:AL43"/>
  <sheetViews>
    <sheetView zoomScale="71" zoomScaleNormal="100" workbookViewId="0">
      <selection activeCell="E7" sqref="E7"/>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9" width="10.625" style="31" customWidth="1"/>
    <col min="10" max="11" width="10.625" style="42" customWidth="1"/>
    <col min="12" max="13" width="3.375" style="42" customWidth="1"/>
    <col min="14" max="21" width="10.875" style="42" hidden="1" customWidth="1"/>
    <col min="22" max="16384" width="10.875" style="42"/>
  </cols>
  <sheetData>
    <row r="1" spans="1:38" s="43" customFormat="1" ht="16.5" thickBot="1">
      <c r="A1" s="42"/>
      <c r="B1" s="42"/>
      <c r="C1" s="42"/>
      <c r="D1" s="42"/>
      <c r="E1" s="31"/>
      <c r="F1" s="31"/>
      <c r="G1" s="31"/>
      <c r="H1" s="31"/>
      <c r="I1" s="31"/>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row>
    <row r="2" spans="1:38" s="43" customFormat="1" ht="26.25">
      <c r="A2" s="42"/>
      <c r="B2" s="44"/>
      <c r="C2" s="96" t="s">
        <v>321</v>
      </c>
      <c r="D2" s="96"/>
      <c r="E2" s="96"/>
      <c r="F2" s="96"/>
      <c r="G2" s="96"/>
      <c r="H2" s="96"/>
      <c r="I2" s="96"/>
      <c r="J2" s="96"/>
      <c r="K2" s="96"/>
      <c r="L2" s="45"/>
      <c r="M2" s="42"/>
      <c r="N2" s="42"/>
      <c r="O2" s="42"/>
      <c r="P2" s="42"/>
      <c r="Q2" s="42"/>
      <c r="R2" s="42"/>
      <c r="S2" s="42"/>
      <c r="T2" s="42"/>
      <c r="U2" s="42"/>
      <c r="V2" s="42"/>
      <c r="W2" s="42"/>
      <c r="X2" s="42"/>
      <c r="Y2" s="42"/>
      <c r="Z2" s="42"/>
      <c r="AA2" s="42"/>
      <c r="AB2" s="42"/>
      <c r="AC2" s="42"/>
      <c r="AD2" s="42"/>
      <c r="AE2" s="42"/>
      <c r="AF2" s="42"/>
      <c r="AG2" s="42"/>
      <c r="AH2" s="42"/>
      <c r="AI2" s="42"/>
      <c r="AJ2" s="42"/>
      <c r="AK2" s="42"/>
      <c r="AL2" s="42"/>
    </row>
    <row r="3" spans="1:38" s="43" customFormat="1" ht="21.75" thickBot="1">
      <c r="A3" s="42"/>
      <c r="B3" s="46"/>
      <c r="C3" s="42"/>
      <c r="D3" s="42"/>
      <c r="E3" s="4"/>
      <c r="F3" s="4"/>
      <c r="G3" s="4"/>
      <c r="H3" s="4"/>
      <c r="I3" s="4"/>
      <c r="J3" s="4"/>
      <c r="K3" s="4"/>
      <c r="L3" s="47"/>
      <c r="M3" s="42"/>
      <c r="N3" s="42"/>
      <c r="O3" s="42"/>
      <c r="P3" s="42"/>
      <c r="Q3" s="42"/>
      <c r="R3" s="42"/>
      <c r="S3" s="42"/>
      <c r="T3" s="42"/>
      <c r="U3" s="42"/>
      <c r="V3" s="42"/>
      <c r="W3" s="42"/>
      <c r="X3" s="42"/>
      <c r="Y3" s="42"/>
      <c r="Z3" s="42"/>
      <c r="AA3" s="42"/>
      <c r="AB3" s="42"/>
      <c r="AC3" s="42"/>
      <c r="AD3" s="42"/>
      <c r="AE3" s="42"/>
      <c r="AF3" s="42"/>
      <c r="AG3" s="42"/>
      <c r="AH3" s="42"/>
      <c r="AI3" s="42"/>
      <c r="AJ3" s="42"/>
      <c r="AK3" s="42"/>
      <c r="AL3" s="42"/>
    </row>
    <row r="4" spans="1:38" s="43" customFormat="1" ht="21.75" thickBot="1">
      <c r="A4" s="42"/>
      <c r="B4" s="46"/>
      <c r="C4" s="3" t="s">
        <v>11</v>
      </c>
      <c r="D4" s="4"/>
      <c r="E4" s="100" t="s">
        <v>12</v>
      </c>
      <c r="F4" s="101"/>
      <c r="G4" s="101"/>
      <c r="H4" s="101"/>
      <c r="I4" s="101"/>
      <c r="J4" s="101"/>
      <c r="K4" s="102"/>
      <c r="L4" s="47"/>
      <c r="M4" s="42"/>
      <c r="N4" s="42"/>
      <c r="O4" s="42"/>
      <c r="P4" s="42"/>
      <c r="Q4" s="42"/>
      <c r="R4" s="42"/>
      <c r="S4" s="42"/>
      <c r="T4" s="42"/>
      <c r="U4" s="42"/>
      <c r="V4" s="42"/>
      <c r="W4" s="42"/>
      <c r="X4" s="42"/>
      <c r="Y4" s="42"/>
      <c r="Z4" s="42"/>
      <c r="AA4" s="42"/>
      <c r="AB4" s="42"/>
      <c r="AC4" s="42"/>
      <c r="AD4" s="42"/>
      <c r="AE4" s="42"/>
      <c r="AF4" s="42"/>
      <c r="AG4" s="42"/>
      <c r="AH4" s="42"/>
      <c r="AI4" s="42"/>
      <c r="AJ4" s="42"/>
      <c r="AK4" s="42"/>
      <c r="AL4" s="42"/>
    </row>
    <row r="5" spans="1:38" s="43" customFormat="1">
      <c r="A5" s="42"/>
      <c r="B5" s="46"/>
      <c r="C5" s="74"/>
      <c r="D5" s="42"/>
      <c r="E5" s="75" t="s">
        <v>13</v>
      </c>
      <c r="F5" s="32" t="s">
        <v>322</v>
      </c>
      <c r="G5" s="32" t="s">
        <v>86</v>
      </c>
      <c r="H5" s="32" t="s">
        <v>323</v>
      </c>
      <c r="I5" s="32" t="s">
        <v>324</v>
      </c>
      <c r="J5" s="32" t="s">
        <v>14</v>
      </c>
      <c r="K5" s="76" t="s">
        <v>15</v>
      </c>
      <c r="L5" s="47"/>
      <c r="M5" s="42"/>
      <c r="N5" s="42" t="s">
        <v>16</v>
      </c>
      <c r="O5" s="42" t="s">
        <v>17</v>
      </c>
      <c r="P5" s="42"/>
      <c r="Q5" s="42"/>
      <c r="R5" s="42"/>
      <c r="S5" s="42"/>
      <c r="T5" s="42"/>
      <c r="U5" s="42"/>
      <c r="V5" s="42"/>
      <c r="W5" s="42"/>
      <c r="X5" s="42"/>
      <c r="Y5" s="42"/>
      <c r="Z5" s="42"/>
      <c r="AA5" s="42"/>
      <c r="AB5" s="42"/>
      <c r="AC5" s="42"/>
      <c r="AD5" s="42"/>
      <c r="AE5" s="42"/>
      <c r="AF5" s="42"/>
      <c r="AG5" s="42"/>
      <c r="AH5" s="42"/>
      <c r="AI5" s="42"/>
      <c r="AJ5" s="42"/>
      <c r="AK5" s="42"/>
      <c r="AL5" s="42"/>
    </row>
    <row r="6" spans="1:38" s="43" customFormat="1" ht="41.65" customHeight="1">
      <c r="A6" s="42"/>
      <c r="B6" s="46"/>
      <c r="C6" s="48"/>
      <c r="D6" s="42"/>
      <c r="E6" s="37" t="s">
        <v>439</v>
      </c>
      <c r="F6" s="9"/>
      <c r="G6" s="9"/>
      <c r="H6" s="9"/>
      <c r="I6" s="9"/>
      <c r="J6" s="8" t="e">
        <f>U6</f>
        <v>#N/A</v>
      </c>
      <c r="K6" s="52" t="e">
        <f>RANK(J6,$J6:$J9,0)</f>
        <v>#N/A</v>
      </c>
      <c r="L6" s="47"/>
      <c r="M6" s="42"/>
      <c r="N6" s="42" t="s">
        <v>18</v>
      </c>
      <c r="O6" s="42">
        <v>10</v>
      </c>
      <c r="P6" s="42"/>
      <c r="Q6" s="53"/>
      <c r="R6" s="54" t="e">
        <f>1/Q7</f>
        <v>#N/A</v>
      </c>
      <c r="S6" s="54" t="e">
        <f>1/Q8</f>
        <v>#N/A</v>
      </c>
      <c r="T6" s="54" t="e">
        <f>1/Q9</f>
        <v>#N/A</v>
      </c>
      <c r="U6" s="55" t="e">
        <f>SUM(Q6:T6)</f>
        <v>#N/A</v>
      </c>
      <c r="V6" s="42"/>
      <c r="W6" s="42"/>
      <c r="X6" s="42"/>
      <c r="Y6" s="42"/>
      <c r="Z6" s="42"/>
      <c r="AA6" s="42"/>
      <c r="AB6" s="42"/>
      <c r="AC6" s="42"/>
      <c r="AD6" s="42"/>
      <c r="AE6" s="42"/>
      <c r="AF6" s="42"/>
      <c r="AG6" s="42"/>
      <c r="AH6" s="42"/>
      <c r="AI6" s="42"/>
      <c r="AJ6" s="42"/>
      <c r="AK6" s="42"/>
      <c r="AL6" s="42"/>
    </row>
    <row r="7" spans="1:38" s="43" customFormat="1" ht="55.5" customHeight="1">
      <c r="A7" s="42"/>
      <c r="B7" s="46"/>
      <c r="C7" s="48"/>
      <c r="D7" s="42"/>
      <c r="E7" s="37" t="s">
        <v>87</v>
      </c>
      <c r="F7" s="8"/>
      <c r="G7" s="9"/>
      <c r="H7" s="9"/>
      <c r="I7" s="9"/>
      <c r="J7" s="8" t="e">
        <f>U7</f>
        <v>#N/A</v>
      </c>
      <c r="K7" s="52" t="e">
        <f>RANK(J7,$J6:$J9,0)</f>
        <v>#N/A</v>
      </c>
      <c r="L7" s="47"/>
      <c r="M7" s="42"/>
      <c r="N7" s="42" t="s">
        <v>19</v>
      </c>
      <c r="O7" s="42">
        <v>5</v>
      </c>
      <c r="P7" s="42"/>
      <c r="Q7" s="56" t="e">
        <f>VLOOKUP(F7, Table2849[#All], 2, 0)</f>
        <v>#N/A</v>
      </c>
      <c r="R7" s="53"/>
      <c r="S7" s="54" t="e">
        <f>1/R8</f>
        <v>#N/A</v>
      </c>
      <c r="T7" s="54" t="e">
        <f>1/R9</f>
        <v>#N/A</v>
      </c>
      <c r="U7" s="55" t="e">
        <f>SUM(Q7:T7)</f>
        <v>#N/A</v>
      </c>
      <c r="V7" s="42"/>
      <c r="W7" s="42"/>
      <c r="X7" s="42"/>
      <c r="Y7" s="42"/>
      <c r="Z7" s="42"/>
      <c r="AA7" s="42"/>
      <c r="AB7" s="42"/>
      <c r="AC7" s="42"/>
      <c r="AD7" s="42"/>
      <c r="AE7" s="42"/>
      <c r="AF7" s="42"/>
      <c r="AG7" s="42"/>
      <c r="AH7" s="42"/>
      <c r="AI7" s="42"/>
      <c r="AJ7" s="42"/>
      <c r="AK7" s="42"/>
      <c r="AL7" s="42"/>
    </row>
    <row r="8" spans="1:38" s="43" customFormat="1" ht="38.25" customHeight="1">
      <c r="A8" s="42"/>
      <c r="B8" s="46"/>
      <c r="C8" s="48"/>
      <c r="D8" s="42"/>
      <c r="E8" s="37" t="s">
        <v>325</v>
      </c>
      <c r="F8" s="8"/>
      <c r="G8" s="8"/>
      <c r="H8" s="9"/>
      <c r="I8" s="9"/>
      <c r="J8" s="8" t="e">
        <f>U8</f>
        <v>#N/A</v>
      </c>
      <c r="K8" s="52" t="e">
        <f>RANK(J8,$J6:$J9,0)</f>
        <v>#N/A</v>
      </c>
      <c r="L8" s="47"/>
      <c r="M8" s="42"/>
      <c r="N8" s="42" t="s">
        <v>20</v>
      </c>
      <c r="O8" s="42">
        <v>1</v>
      </c>
      <c r="P8" s="42"/>
      <c r="Q8" s="56" t="e">
        <f>VLOOKUP(F8, Table2849[#All], 2, 0)</f>
        <v>#N/A</v>
      </c>
      <c r="R8" s="56" t="e">
        <f>VLOOKUP(G8, Table2849[#All], 2, 0)</f>
        <v>#N/A</v>
      </c>
      <c r="S8" s="53"/>
      <c r="T8" s="54" t="e">
        <f>1/S9</f>
        <v>#N/A</v>
      </c>
      <c r="U8" s="55" t="e">
        <f>SUM(Q8:T8)</f>
        <v>#N/A</v>
      </c>
      <c r="V8" s="42"/>
      <c r="W8" s="42"/>
      <c r="X8" s="42"/>
      <c r="Y8" s="42"/>
      <c r="Z8" s="42"/>
      <c r="AA8" s="42"/>
      <c r="AB8" s="42"/>
      <c r="AC8" s="42"/>
      <c r="AD8" s="42"/>
      <c r="AE8" s="42"/>
      <c r="AF8" s="42"/>
      <c r="AG8" s="42"/>
      <c r="AH8" s="42"/>
      <c r="AI8" s="42"/>
      <c r="AJ8" s="42"/>
      <c r="AK8" s="42"/>
      <c r="AL8" s="42"/>
    </row>
    <row r="9" spans="1:38" s="43" customFormat="1" ht="40.9" customHeight="1" thickBot="1">
      <c r="A9" s="42"/>
      <c r="B9" s="46"/>
      <c r="C9" s="48"/>
      <c r="D9" s="42"/>
      <c r="E9" s="39" t="s">
        <v>326</v>
      </c>
      <c r="F9" s="13"/>
      <c r="G9" s="13"/>
      <c r="H9" s="13"/>
      <c r="I9" s="25"/>
      <c r="J9" s="13" t="e">
        <f>U9</f>
        <v>#N/A</v>
      </c>
      <c r="K9" s="57" t="e">
        <f>RANK(J9,$J6:$J9,0)</f>
        <v>#N/A</v>
      </c>
      <c r="L9" s="47"/>
      <c r="M9" s="42"/>
      <c r="N9" s="42" t="s">
        <v>21</v>
      </c>
      <c r="O9" s="42">
        <v>0.2</v>
      </c>
      <c r="P9" s="42"/>
      <c r="Q9" s="56" t="e">
        <f>VLOOKUP(F9, Table2849[#All], 2, 0)</f>
        <v>#N/A</v>
      </c>
      <c r="R9" s="56" t="e">
        <f>VLOOKUP(G9, Table2849[#All], 2, 0)</f>
        <v>#N/A</v>
      </c>
      <c r="S9" s="56" t="e">
        <f>VLOOKUP(H9, Table2849[#All], 2, 0)</f>
        <v>#N/A</v>
      </c>
      <c r="T9" s="53"/>
      <c r="U9" s="55" t="e">
        <f>SUM(Q9:T9)</f>
        <v>#N/A</v>
      </c>
      <c r="V9" s="42"/>
      <c r="W9" s="42"/>
      <c r="X9" s="42"/>
      <c r="Y9" s="42"/>
      <c r="Z9" s="42"/>
      <c r="AA9" s="42"/>
      <c r="AB9" s="42"/>
      <c r="AC9" s="42"/>
      <c r="AD9" s="42"/>
      <c r="AE9" s="42"/>
      <c r="AF9" s="42"/>
      <c r="AG9" s="42"/>
      <c r="AH9" s="42"/>
      <c r="AI9" s="42"/>
      <c r="AJ9" s="42"/>
      <c r="AK9" s="42"/>
      <c r="AL9" s="42"/>
    </row>
    <row r="10" spans="1:38" s="43" customFormat="1">
      <c r="A10" s="42"/>
      <c r="B10" s="46"/>
      <c r="C10" s="48"/>
      <c r="D10" s="42"/>
      <c r="E10" s="59"/>
      <c r="F10" s="31"/>
      <c r="G10" s="31"/>
      <c r="H10" s="31"/>
      <c r="I10" s="31"/>
      <c r="J10" s="42"/>
      <c r="K10" s="42"/>
      <c r="L10" s="47"/>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row>
    <row r="11" spans="1:38" s="43" customFormat="1">
      <c r="A11" s="42"/>
      <c r="B11" s="46"/>
      <c r="C11" s="48"/>
      <c r="D11" s="42"/>
      <c r="E11" s="42"/>
      <c r="F11" s="31"/>
      <c r="G11" s="31"/>
      <c r="H11" s="31"/>
      <c r="I11" s="31"/>
      <c r="J11" s="42"/>
      <c r="K11" s="42"/>
      <c r="L11" s="47"/>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row>
    <row r="12" spans="1:38" s="43" customFormat="1">
      <c r="A12" s="42"/>
      <c r="B12" s="46"/>
      <c r="C12" s="48"/>
      <c r="D12" s="42"/>
      <c r="E12" s="31"/>
      <c r="F12" s="31"/>
      <c r="G12" s="31"/>
      <c r="H12" s="31"/>
      <c r="I12" s="31"/>
      <c r="J12" s="42"/>
      <c r="K12" s="42"/>
      <c r="L12" s="47"/>
      <c r="M12" s="42"/>
      <c r="N12" s="42"/>
      <c r="O12" s="42"/>
      <c r="P12" s="42"/>
      <c r="Q12" s="42"/>
      <c r="R12" s="42"/>
      <c r="S12" s="42"/>
      <c r="T12" s="42"/>
      <c r="U12" s="42"/>
      <c r="V12" s="42"/>
      <c r="W12" s="42"/>
      <c r="X12" s="42"/>
      <c r="Y12" s="42"/>
      <c r="Z12" s="42"/>
      <c r="AA12" s="42"/>
      <c r="AB12" s="42"/>
      <c r="AC12" s="42"/>
      <c r="AD12" s="42"/>
      <c r="AE12" s="42"/>
      <c r="AF12" s="42"/>
      <c r="AG12" s="42"/>
      <c r="AH12" s="42"/>
      <c r="AI12" s="42"/>
      <c r="AJ12" s="42"/>
      <c r="AK12" s="42"/>
      <c r="AL12" s="42"/>
    </row>
    <row r="13" spans="1:38" s="43" customFormat="1">
      <c r="A13" s="42"/>
      <c r="B13" s="46"/>
      <c r="C13" s="48"/>
      <c r="D13" s="42"/>
      <c r="E13" s="31"/>
      <c r="F13" s="31"/>
      <c r="G13" s="31"/>
      <c r="H13" s="31"/>
      <c r="I13" s="31"/>
      <c r="J13" s="42"/>
      <c r="K13" s="42"/>
      <c r="L13" s="47"/>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row>
    <row r="14" spans="1:38" s="43" customFormat="1">
      <c r="A14" s="42"/>
      <c r="B14" s="46"/>
      <c r="C14" s="48"/>
      <c r="D14" s="42"/>
      <c r="E14" s="31"/>
      <c r="F14" s="31"/>
      <c r="G14" s="31"/>
      <c r="H14" s="31"/>
      <c r="I14" s="31"/>
      <c r="J14" s="42"/>
      <c r="K14" s="42"/>
      <c r="L14" s="47"/>
      <c r="M14" s="42"/>
      <c r="N14" s="42"/>
      <c r="O14" s="42"/>
      <c r="P14" s="42"/>
      <c r="Q14" s="42"/>
      <c r="R14" s="42"/>
      <c r="S14" s="42"/>
      <c r="T14" s="42"/>
      <c r="U14" s="42"/>
      <c r="V14" s="42"/>
      <c r="W14" s="42"/>
      <c r="X14" s="42"/>
      <c r="Y14" s="42"/>
      <c r="Z14" s="42"/>
      <c r="AA14" s="42"/>
      <c r="AB14" s="42"/>
      <c r="AC14" s="42"/>
      <c r="AD14" s="42"/>
      <c r="AE14" s="42"/>
      <c r="AF14" s="42"/>
      <c r="AG14" s="42"/>
      <c r="AH14" s="42"/>
      <c r="AI14" s="42"/>
      <c r="AJ14" s="42"/>
      <c r="AK14" s="42"/>
      <c r="AL14" s="42"/>
    </row>
    <row r="15" spans="1:38" s="43" customFormat="1">
      <c r="A15" s="42"/>
      <c r="B15" s="46"/>
      <c r="C15" s="48"/>
      <c r="D15" s="42"/>
      <c r="E15" s="31"/>
      <c r="F15" s="31"/>
      <c r="G15" s="31"/>
      <c r="H15" s="31"/>
      <c r="I15" s="31"/>
      <c r="J15" s="42"/>
      <c r="K15" s="42"/>
      <c r="L15" s="47"/>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row>
    <row r="16" spans="1:38" s="43" customFormat="1">
      <c r="A16" s="42"/>
      <c r="B16" s="46"/>
      <c r="C16" s="48"/>
      <c r="D16" s="42"/>
      <c r="E16" s="31"/>
      <c r="F16" s="31"/>
      <c r="G16" s="31"/>
      <c r="H16" s="31"/>
      <c r="I16" s="31"/>
      <c r="J16" s="42"/>
      <c r="K16" s="42"/>
      <c r="L16" s="47"/>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row>
    <row r="17" spans="1:38" s="43" customFormat="1">
      <c r="A17" s="42"/>
      <c r="B17" s="46"/>
      <c r="C17" s="48"/>
      <c r="D17" s="42"/>
      <c r="E17" s="31"/>
      <c r="F17" s="31"/>
      <c r="G17" s="31"/>
      <c r="H17" s="31"/>
      <c r="I17" s="31"/>
      <c r="J17" s="42"/>
      <c r="K17" s="42"/>
      <c r="L17" s="47"/>
      <c r="M17" s="42"/>
      <c r="N17" s="42"/>
      <c r="O17" s="42"/>
      <c r="P17" s="42"/>
      <c r="Q17" s="42"/>
      <c r="R17" s="42"/>
      <c r="S17" s="42"/>
      <c r="T17" s="42"/>
      <c r="U17" s="42"/>
      <c r="V17" s="42"/>
      <c r="W17" s="42"/>
      <c r="X17" s="42"/>
      <c r="Y17" s="42"/>
      <c r="Z17" s="42"/>
      <c r="AA17" s="42"/>
      <c r="AB17" s="42"/>
      <c r="AC17" s="42"/>
      <c r="AD17" s="42"/>
      <c r="AE17" s="42"/>
      <c r="AF17" s="42"/>
      <c r="AG17" s="42"/>
      <c r="AH17" s="42"/>
      <c r="AI17" s="42"/>
      <c r="AJ17" s="42"/>
      <c r="AK17" s="42"/>
      <c r="AL17" s="42"/>
    </row>
    <row r="18" spans="1:38" s="43" customFormat="1">
      <c r="A18" s="42"/>
      <c r="B18" s="46"/>
      <c r="C18" s="48"/>
      <c r="D18" s="42"/>
      <c r="E18" s="31"/>
      <c r="F18" s="31"/>
      <c r="G18" s="31"/>
      <c r="H18" s="31"/>
      <c r="I18" s="31"/>
      <c r="J18" s="42"/>
      <c r="K18" s="42"/>
      <c r="L18" s="47"/>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row>
    <row r="19" spans="1:38" s="43" customFormat="1">
      <c r="A19" s="42"/>
      <c r="B19" s="46"/>
      <c r="C19" s="48"/>
      <c r="D19" s="42"/>
      <c r="E19" s="31"/>
      <c r="F19" s="31"/>
      <c r="G19" s="31"/>
      <c r="H19" s="31"/>
      <c r="I19" s="31"/>
      <c r="J19" s="42"/>
      <c r="K19" s="42"/>
      <c r="L19" s="47"/>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row>
    <row r="20" spans="1:38" s="43" customFormat="1">
      <c r="A20" s="42"/>
      <c r="B20" s="46"/>
      <c r="C20" s="48"/>
      <c r="D20" s="42"/>
      <c r="E20" s="31"/>
      <c r="F20" s="31"/>
      <c r="G20" s="31"/>
      <c r="H20" s="31"/>
      <c r="I20" s="31"/>
      <c r="J20" s="42"/>
      <c r="K20" s="42"/>
      <c r="L20" s="47"/>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row>
    <row r="21" spans="1:38" s="43" customFormat="1">
      <c r="A21" s="42"/>
      <c r="B21" s="46"/>
      <c r="C21" s="48"/>
      <c r="D21" s="42"/>
      <c r="E21" s="31"/>
      <c r="F21" s="31"/>
      <c r="G21" s="31"/>
      <c r="H21" s="31"/>
      <c r="I21" s="31"/>
      <c r="J21" s="42"/>
      <c r="K21" s="42"/>
      <c r="L21" s="47"/>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row>
    <row r="22" spans="1:38" s="43" customFormat="1">
      <c r="A22" s="42"/>
      <c r="B22" s="46"/>
      <c r="C22" s="48"/>
      <c r="D22" s="42"/>
      <c r="E22" s="31"/>
      <c r="F22" s="31"/>
      <c r="G22" s="31"/>
      <c r="H22" s="31"/>
      <c r="I22" s="31"/>
      <c r="J22" s="42"/>
      <c r="K22" s="42"/>
      <c r="L22" s="47"/>
      <c r="M22" s="42"/>
      <c r="N22" s="42"/>
      <c r="O22" s="42"/>
      <c r="P22" s="42"/>
      <c r="Q22" s="42"/>
      <c r="R22" s="42"/>
      <c r="S22" s="42"/>
      <c r="T22" s="42"/>
      <c r="U22" s="42"/>
      <c r="V22" s="42"/>
      <c r="W22" s="42"/>
      <c r="X22" s="42"/>
      <c r="Y22" s="42"/>
      <c r="Z22" s="42"/>
      <c r="AA22" s="42"/>
      <c r="AB22" s="42"/>
      <c r="AC22" s="42"/>
      <c r="AD22" s="42"/>
      <c r="AE22" s="42"/>
      <c r="AF22" s="42"/>
      <c r="AG22" s="42"/>
      <c r="AH22" s="42"/>
      <c r="AI22" s="42"/>
      <c r="AJ22" s="42"/>
      <c r="AK22" s="42"/>
      <c r="AL22" s="42"/>
    </row>
    <row r="23" spans="1:38" s="43" customFormat="1">
      <c r="A23" s="42"/>
      <c r="B23" s="46"/>
      <c r="C23" s="48"/>
      <c r="D23" s="42"/>
      <c r="E23" s="31"/>
      <c r="F23" s="31"/>
      <c r="G23" s="31"/>
      <c r="H23" s="31"/>
      <c r="I23" s="31"/>
      <c r="J23" s="42"/>
      <c r="K23" s="42"/>
      <c r="L23" s="47"/>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row>
    <row r="24" spans="1:38" s="43" customFormat="1">
      <c r="A24" s="42"/>
      <c r="B24" s="46"/>
      <c r="C24" s="48"/>
      <c r="D24" s="42"/>
      <c r="E24" s="31"/>
      <c r="F24" s="31"/>
      <c r="G24" s="31"/>
      <c r="H24" s="31"/>
      <c r="I24" s="31"/>
      <c r="J24" s="42"/>
      <c r="K24" s="42"/>
      <c r="L24" s="47"/>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row>
    <row r="25" spans="1:38" s="43" customFormat="1">
      <c r="A25" s="42"/>
      <c r="B25" s="46"/>
      <c r="C25" s="48"/>
      <c r="D25" s="42"/>
      <c r="E25" s="31"/>
      <c r="F25" s="31"/>
      <c r="G25" s="31"/>
      <c r="H25" s="31"/>
      <c r="I25" s="31"/>
      <c r="J25" s="42"/>
      <c r="K25" s="42"/>
      <c r="L25" s="47"/>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row>
    <row r="26" spans="1:38" s="43" customFormat="1">
      <c r="A26" s="42"/>
      <c r="B26" s="46"/>
      <c r="C26" s="48"/>
      <c r="D26" s="42"/>
      <c r="E26" s="31"/>
      <c r="F26" s="31"/>
      <c r="G26" s="31"/>
      <c r="H26" s="31"/>
      <c r="I26" s="31"/>
      <c r="J26" s="42"/>
      <c r="K26" s="42"/>
      <c r="L26" s="47"/>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row>
    <row r="27" spans="1:38" s="43" customFormat="1">
      <c r="A27" s="42"/>
      <c r="B27" s="46"/>
      <c r="C27" s="48"/>
      <c r="D27" s="42"/>
      <c r="E27" s="31"/>
      <c r="F27" s="31"/>
      <c r="G27" s="31"/>
      <c r="H27" s="31"/>
      <c r="I27" s="31"/>
      <c r="J27" s="42"/>
      <c r="K27" s="42"/>
      <c r="L27" s="47"/>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row>
    <row r="28" spans="1:38" s="43" customFormat="1">
      <c r="A28" s="42"/>
      <c r="B28" s="46"/>
      <c r="C28" s="48"/>
      <c r="D28" s="42"/>
      <c r="E28" s="31"/>
      <c r="F28" s="31"/>
      <c r="G28" s="31"/>
      <c r="H28" s="31"/>
      <c r="I28" s="31"/>
      <c r="J28" s="42"/>
      <c r="K28" s="42"/>
      <c r="L28" s="47"/>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row>
    <row r="29" spans="1:38" s="43" customFormat="1">
      <c r="A29" s="42"/>
      <c r="B29" s="46"/>
      <c r="C29" s="48"/>
      <c r="D29" s="42"/>
      <c r="E29" s="31"/>
      <c r="F29" s="31"/>
      <c r="G29" s="31"/>
      <c r="H29" s="31"/>
      <c r="I29" s="31"/>
      <c r="J29" s="42"/>
      <c r="K29" s="42"/>
      <c r="L29" s="47"/>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row>
    <row r="30" spans="1:38" s="43" customFormat="1">
      <c r="A30" s="42"/>
      <c r="B30" s="46"/>
      <c r="C30" s="48"/>
      <c r="D30" s="42"/>
      <c r="E30" s="31"/>
      <c r="F30" s="31"/>
      <c r="G30" s="31"/>
      <c r="H30" s="31"/>
      <c r="I30" s="31"/>
      <c r="J30" s="42"/>
      <c r="K30" s="42"/>
      <c r="L30" s="47"/>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row>
    <row r="31" spans="1:38" s="43" customFormat="1">
      <c r="A31" s="42"/>
      <c r="B31" s="46"/>
      <c r="C31" s="48"/>
      <c r="D31" s="42"/>
      <c r="E31" s="31"/>
      <c r="F31" s="31"/>
      <c r="G31" s="31"/>
      <c r="H31" s="31"/>
      <c r="I31" s="31"/>
      <c r="J31" s="42"/>
      <c r="K31" s="42"/>
      <c r="L31" s="47"/>
      <c r="M31" s="42"/>
      <c r="N31" s="42"/>
      <c r="O31" s="42"/>
      <c r="P31" s="42"/>
      <c r="Q31" s="42"/>
      <c r="R31" s="42"/>
      <c r="S31" s="42"/>
      <c r="T31" s="42"/>
      <c r="U31" s="42"/>
      <c r="V31" s="42"/>
      <c r="W31" s="42"/>
      <c r="X31" s="42"/>
      <c r="Y31" s="42"/>
      <c r="Z31" s="42"/>
      <c r="AA31" s="42"/>
      <c r="AB31" s="42"/>
      <c r="AC31" s="42"/>
      <c r="AD31" s="42"/>
      <c r="AE31" s="42"/>
      <c r="AF31" s="42"/>
      <c r="AG31" s="42"/>
      <c r="AH31" s="42"/>
      <c r="AI31" s="42"/>
      <c r="AJ31" s="42"/>
      <c r="AK31" s="42"/>
      <c r="AL31" s="42"/>
    </row>
    <row r="32" spans="1:38" s="43" customFormat="1">
      <c r="A32" s="42"/>
      <c r="B32" s="46"/>
      <c r="C32" s="48"/>
      <c r="D32" s="42"/>
      <c r="E32" s="31"/>
      <c r="F32" s="31"/>
      <c r="G32" s="31"/>
      <c r="H32" s="31"/>
      <c r="I32" s="31"/>
      <c r="J32" s="42"/>
      <c r="K32" s="42"/>
      <c r="L32" s="47"/>
      <c r="M32" s="42"/>
      <c r="N32" s="42"/>
      <c r="O32" s="42"/>
      <c r="P32" s="42"/>
      <c r="Q32" s="42"/>
      <c r="R32" s="42"/>
      <c r="S32" s="42"/>
      <c r="T32" s="42"/>
      <c r="U32" s="42"/>
      <c r="V32" s="42"/>
      <c r="W32" s="42"/>
      <c r="X32" s="42"/>
      <c r="Y32" s="42"/>
      <c r="Z32" s="42"/>
      <c r="AA32" s="42"/>
      <c r="AB32" s="42"/>
      <c r="AC32" s="42"/>
      <c r="AD32" s="42"/>
      <c r="AE32" s="42"/>
      <c r="AF32" s="42"/>
      <c r="AG32" s="42"/>
      <c r="AH32" s="42"/>
      <c r="AI32" s="42"/>
      <c r="AJ32" s="42"/>
      <c r="AK32" s="42"/>
      <c r="AL32" s="42"/>
    </row>
    <row r="33" spans="1:38" s="60" customFormat="1">
      <c r="A33" s="42"/>
      <c r="B33" s="46"/>
      <c r="C33" s="48"/>
      <c r="D33" s="42"/>
      <c r="E33" s="31"/>
      <c r="F33" s="31"/>
      <c r="G33" s="31"/>
      <c r="H33" s="31"/>
      <c r="I33" s="31"/>
      <c r="J33" s="42"/>
      <c r="K33" s="42"/>
      <c r="L33" s="47"/>
      <c r="M33" s="42"/>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row>
    <row r="34" spans="1:38">
      <c r="B34" s="46"/>
      <c r="C34" s="48"/>
      <c r="L34" s="47"/>
    </row>
    <row r="35" spans="1:38">
      <c r="B35" s="46"/>
      <c r="C35" s="48"/>
      <c r="L35" s="47"/>
    </row>
    <row r="36" spans="1:38">
      <c r="B36" s="46"/>
      <c r="C36" s="48"/>
      <c r="L36" s="47"/>
    </row>
    <row r="37" spans="1:38">
      <c r="B37" s="46"/>
      <c r="C37" s="48"/>
      <c r="L37" s="47"/>
    </row>
    <row r="38" spans="1:38">
      <c r="B38" s="46"/>
      <c r="C38" s="48"/>
      <c r="L38" s="47"/>
    </row>
    <row r="39" spans="1:38">
      <c r="B39" s="46"/>
      <c r="C39" s="48"/>
      <c r="L39" s="47"/>
    </row>
    <row r="40" spans="1:38">
      <c r="B40" s="46"/>
      <c r="C40" s="48"/>
      <c r="L40" s="47"/>
    </row>
    <row r="41" spans="1:38" ht="16.5" thickBot="1">
      <c r="B41" s="46"/>
      <c r="C41" s="61"/>
      <c r="L41" s="47"/>
    </row>
    <row r="42" spans="1:38">
      <c r="B42" s="46"/>
      <c r="C42" s="69"/>
      <c r="L42" s="47"/>
    </row>
    <row r="43" spans="1:38" ht="16.5" thickBot="1">
      <c r="B43" s="62"/>
      <c r="C43" s="63"/>
      <c r="D43" s="63"/>
      <c r="E43" s="33"/>
      <c r="F43" s="33"/>
      <c r="G43" s="33"/>
      <c r="H43" s="33"/>
      <c r="I43" s="33"/>
      <c r="J43" s="63"/>
      <c r="K43" s="63"/>
      <c r="L43" s="64"/>
    </row>
  </sheetData>
  <mergeCells count="2">
    <mergeCell ref="C2:K2"/>
    <mergeCell ref="E4:K4"/>
  </mergeCells>
  <dataValidations count="1">
    <dataValidation type="list" allowBlank="1" showInputMessage="1" showErrorMessage="1" sqref="F7:F9 G8:G9 H9" xr:uid="{2C4A6DEA-EFCB-451E-9868-C1AED81A2D8C}">
      <formula1>Scale</formula1>
    </dataValidation>
  </dataValidations>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B5E0A-9B0B-4EA6-BF47-74AB6B6EDAE5}">
  <dimension ref="A1:CB32"/>
  <sheetViews>
    <sheetView topLeftCell="A9" zoomScale="56" zoomScaleNormal="70" workbookViewId="0">
      <selection activeCell="E13" sqref="E13"/>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30" width="10.625" style="31" customWidth="1"/>
    <col min="31" max="32" width="10.625" style="42" customWidth="1"/>
    <col min="33" max="34" width="3.375" style="42" customWidth="1"/>
    <col min="35" max="35" width="20" style="42" hidden="1" customWidth="1"/>
    <col min="36" max="36" width="11.5" style="42" hidden="1" customWidth="1"/>
    <col min="37" max="37" width="10.875" style="42" hidden="1" customWidth="1"/>
    <col min="38" max="63" width="5.125" style="42" hidden="1" customWidth="1"/>
    <col min="64" max="66" width="10.875" style="42" customWidth="1"/>
    <col min="67" max="16384" width="10.875" style="42"/>
  </cols>
  <sheetData>
    <row r="1" spans="1:80" s="43" customFormat="1" ht="16.5" thickBot="1">
      <c r="A1" s="42"/>
      <c r="B1" s="42"/>
      <c r="C1" s="42"/>
      <c r="D1" s="42"/>
      <c r="E1" s="31"/>
      <c r="F1" s="31"/>
      <c r="G1" s="31"/>
      <c r="H1" s="31"/>
      <c r="I1" s="31"/>
      <c r="J1" s="31"/>
      <c r="K1" s="31"/>
      <c r="L1" s="31"/>
      <c r="M1" s="31"/>
      <c r="N1" s="31"/>
      <c r="O1" s="31"/>
      <c r="P1" s="31"/>
      <c r="Q1" s="31"/>
      <c r="R1" s="31"/>
      <c r="S1" s="31"/>
      <c r="T1" s="31"/>
      <c r="U1" s="31"/>
      <c r="V1" s="31"/>
      <c r="W1" s="31"/>
      <c r="X1" s="31"/>
      <c r="Y1" s="31"/>
      <c r="Z1" s="31"/>
      <c r="AA1" s="31"/>
      <c r="AB1" s="31"/>
      <c r="AC1" s="31"/>
      <c r="AD1" s="31"/>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row>
    <row r="2" spans="1:80" s="43" customFormat="1" ht="26.25">
      <c r="A2" s="42"/>
      <c r="B2" s="44"/>
      <c r="C2" s="96" t="s">
        <v>88</v>
      </c>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45"/>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row>
    <row r="3" spans="1:80" s="43" customFormat="1" ht="21.75" thickBot="1">
      <c r="A3" s="42"/>
      <c r="B3" s="46"/>
      <c r="C3" s="42"/>
      <c r="D3" s="42"/>
      <c r="E3" s="4"/>
      <c r="F3" s="4"/>
      <c r="G3" s="4"/>
      <c r="H3" s="4"/>
      <c r="I3" s="4"/>
      <c r="J3" s="4"/>
      <c r="K3" s="4"/>
      <c r="L3" s="4"/>
      <c r="M3" s="4"/>
      <c r="N3" s="4"/>
      <c r="O3" s="4"/>
      <c r="P3" s="4"/>
      <c r="Q3" s="4"/>
      <c r="R3" s="4"/>
      <c r="S3" s="4"/>
      <c r="T3" s="4"/>
      <c r="U3" s="4"/>
      <c r="V3" s="4"/>
      <c r="W3" s="4"/>
      <c r="X3" s="4"/>
      <c r="Y3" s="4"/>
      <c r="Z3" s="4"/>
      <c r="AA3" s="4"/>
      <c r="AB3" s="4"/>
      <c r="AC3" s="4"/>
      <c r="AD3" s="4"/>
      <c r="AE3" s="4"/>
      <c r="AF3" s="4"/>
      <c r="AG3" s="47"/>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row>
    <row r="4" spans="1:80" s="43" customFormat="1" ht="21.75" thickBot="1">
      <c r="A4" s="42"/>
      <c r="B4" s="46"/>
      <c r="C4" s="3" t="s">
        <v>11</v>
      </c>
      <c r="D4" s="4"/>
      <c r="E4" s="100" t="s">
        <v>12</v>
      </c>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2"/>
      <c r="AG4" s="47"/>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row>
    <row r="5" spans="1:80" s="43" customFormat="1" ht="16.5" thickBot="1">
      <c r="A5" s="42"/>
      <c r="B5" s="46"/>
      <c r="C5" s="74"/>
      <c r="D5" s="42"/>
      <c r="E5" s="75" t="s">
        <v>13</v>
      </c>
      <c r="F5" s="32" t="s">
        <v>89</v>
      </c>
      <c r="G5" s="32" t="s">
        <v>90</v>
      </c>
      <c r="H5" s="32" t="s">
        <v>91</v>
      </c>
      <c r="I5" s="32" t="s">
        <v>92</v>
      </c>
      <c r="J5" s="32" t="s">
        <v>93</v>
      </c>
      <c r="K5" s="32" t="s">
        <v>94</v>
      </c>
      <c r="L5" s="32" t="s">
        <v>95</v>
      </c>
      <c r="M5" s="32" t="s">
        <v>96</v>
      </c>
      <c r="N5" s="32" t="s">
        <v>97</v>
      </c>
      <c r="O5" s="32" t="s">
        <v>98</v>
      </c>
      <c r="P5" s="32" t="s">
        <v>99</v>
      </c>
      <c r="Q5" s="32" t="s">
        <v>100</v>
      </c>
      <c r="R5" s="32" t="s">
        <v>327</v>
      </c>
      <c r="S5" s="32" t="s">
        <v>101</v>
      </c>
      <c r="T5" s="32" t="s">
        <v>102</v>
      </c>
      <c r="U5" s="32" t="s">
        <v>328</v>
      </c>
      <c r="V5" s="32" t="s">
        <v>103</v>
      </c>
      <c r="W5" s="32" t="s">
        <v>104</v>
      </c>
      <c r="X5" s="32" t="s">
        <v>105</v>
      </c>
      <c r="Y5" s="32" t="s">
        <v>106</v>
      </c>
      <c r="Z5" s="32" t="s">
        <v>329</v>
      </c>
      <c r="AA5" s="32" t="s">
        <v>107</v>
      </c>
      <c r="AB5" s="32" t="s">
        <v>108</v>
      </c>
      <c r="AC5" s="32" t="s">
        <v>109</v>
      </c>
      <c r="AD5" s="32" t="s">
        <v>110</v>
      </c>
      <c r="AE5" s="84" t="s">
        <v>14</v>
      </c>
      <c r="AF5" s="76" t="s">
        <v>15</v>
      </c>
      <c r="AG5" s="47"/>
      <c r="AH5" s="42"/>
      <c r="AI5" s="42" t="s">
        <v>16</v>
      </c>
      <c r="AJ5" s="42" t="s">
        <v>17</v>
      </c>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row>
    <row r="6" spans="1:80" s="43" customFormat="1" ht="78.75" customHeight="1">
      <c r="A6" s="42"/>
      <c r="B6" s="46"/>
      <c r="C6" s="48"/>
      <c r="D6" s="42"/>
      <c r="E6" s="41" t="s">
        <v>111</v>
      </c>
      <c r="F6" s="40"/>
      <c r="G6" s="40"/>
      <c r="H6" s="40"/>
      <c r="I6" s="40"/>
      <c r="J6" s="40"/>
      <c r="K6" s="40"/>
      <c r="L6" s="40"/>
      <c r="M6" s="40"/>
      <c r="N6" s="40"/>
      <c r="O6" s="40"/>
      <c r="P6" s="40"/>
      <c r="Q6" s="40"/>
      <c r="R6" s="40"/>
      <c r="S6" s="40"/>
      <c r="T6" s="40"/>
      <c r="U6" s="40"/>
      <c r="V6" s="40"/>
      <c r="W6" s="40"/>
      <c r="X6" s="40"/>
      <c r="Y6" s="40"/>
      <c r="Z6" s="40"/>
      <c r="AA6" s="40"/>
      <c r="AB6" s="40"/>
      <c r="AC6" s="40"/>
      <c r="AD6" s="40"/>
      <c r="AE6" s="77" t="e">
        <f t="shared" ref="AE6:AE30" si="0">BK6</f>
        <v>#N/A</v>
      </c>
      <c r="AF6" s="78" t="e">
        <f>RANK(AE6,$AE6:$AE30,0)</f>
        <v>#N/A</v>
      </c>
      <c r="AG6" s="47"/>
      <c r="AH6" s="42"/>
      <c r="AI6" s="42" t="s">
        <v>18</v>
      </c>
      <c r="AJ6" s="42">
        <v>10</v>
      </c>
      <c r="AK6" s="42"/>
      <c r="AL6" s="53"/>
      <c r="AM6" s="54" t="e">
        <f>1/AL7</f>
        <v>#N/A</v>
      </c>
      <c r="AN6" s="54" t="e">
        <f>1/AL8</f>
        <v>#N/A</v>
      </c>
      <c r="AO6" s="54" t="e">
        <f>1/AL9</f>
        <v>#N/A</v>
      </c>
      <c r="AP6" s="54" t="e">
        <f>1/AL10</f>
        <v>#N/A</v>
      </c>
      <c r="AQ6" s="54" t="e">
        <f>1/AL11</f>
        <v>#N/A</v>
      </c>
      <c r="AR6" s="54" t="e">
        <f>1/AL12</f>
        <v>#N/A</v>
      </c>
      <c r="AS6" s="54" t="e">
        <f>1/AL13</f>
        <v>#N/A</v>
      </c>
      <c r="AT6" s="54" t="e">
        <f>1/AL14</f>
        <v>#N/A</v>
      </c>
      <c r="AU6" s="54" t="e">
        <f>1/AL15</f>
        <v>#N/A</v>
      </c>
      <c r="AV6" s="54" t="e">
        <f>1/AL16</f>
        <v>#N/A</v>
      </c>
      <c r="AW6" s="54" t="e">
        <f>1/AL17</f>
        <v>#N/A</v>
      </c>
      <c r="AX6" s="54" t="e">
        <f>1/AL18</f>
        <v>#N/A</v>
      </c>
      <c r="AY6" s="54" t="e">
        <f>1/AL19</f>
        <v>#N/A</v>
      </c>
      <c r="AZ6" s="54" t="e">
        <f>1/AL20</f>
        <v>#N/A</v>
      </c>
      <c r="BA6" s="54" t="e">
        <f>1/AL21</f>
        <v>#N/A</v>
      </c>
      <c r="BB6" s="54" t="e">
        <f>1/AL22</f>
        <v>#N/A</v>
      </c>
      <c r="BC6" s="54" t="e">
        <f>1/AL23</f>
        <v>#N/A</v>
      </c>
      <c r="BD6" s="54" t="e">
        <f>1/AL24</f>
        <v>#N/A</v>
      </c>
      <c r="BE6" s="54" t="e">
        <f>1/AL25</f>
        <v>#N/A</v>
      </c>
      <c r="BF6" s="54" t="e">
        <f>1/AL26</f>
        <v>#N/A</v>
      </c>
      <c r="BG6" s="54" t="e">
        <f>1/AL27</f>
        <v>#N/A</v>
      </c>
      <c r="BH6" s="54" t="e">
        <f>1/AL28</f>
        <v>#N/A</v>
      </c>
      <c r="BI6" s="54" t="e">
        <f>1/AL29</f>
        <v>#N/A</v>
      </c>
      <c r="BJ6" s="54" t="e">
        <f>1/AL30</f>
        <v>#N/A</v>
      </c>
      <c r="BK6" s="55" t="e">
        <f t="shared" ref="BK6:BK30" si="1">SUM(AL6:BJ6)</f>
        <v>#N/A</v>
      </c>
      <c r="BL6" s="42"/>
      <c r="BM6" s="42"/>
      <c r="BN6" s="42"/>
      <c r="BO6" s="42"/>
      <c r="BP6" s="42"/>
      <c r="BQ6" s="42"/>
      <c r="BR6" s="42"/>
      <c r="BS6" s="42"/>
      <c r="BT6" s="42"/>
      <c r="BU6" s="42"/>
      <c r="BV6" s="42"/>
      <c r="BW6" s="42"/>
      <c r="BX6" s="42"/>
      <c r="BY6" s="42"/>
      <c r="BZ6" s="42"/>
      <c r="CA6" s="42"/>
      <c r="CB6" s="42"/>
    </row>
    <row r="7" spans="1:80" s="43" customFormat="1" ht="50.25" customHeight="1">
      <c r="A7" s="42"/>
      <c r="B7" s="46"/>
      <c r="C7" s="48"/>
      <c r="D7" s="42"/>
      <c r="E7" s="37" t="s">
        <v>330</v>
      </c>
      <c r="F7" s="8"/>
      <c r="G7" s="9"/>
      <c r="H7" s="9"/>
      <c r="I7" s="9"/>
      <c r="J7" s="9"/>
      <c r="K7" s="9"/>
      <c r="L7" s="9"/>
      <c r="M7" s="9"/>
      <c r="N7" s="9"/>
      <c r="O7" s="9"/>
      <c r="P7" s="9"/>
      <c r="Q7" s="9"/>
      <c r="R7" s="9"/>
      <c r="S7" s="9"/>
      <c r="T7" s="9"/>
      <c r="U7" s="9"/>
      <c r="V7" s="9"/>
      <c r="W7" s="9"/>
      <c r="X7" s="9"/>
      <c r="Y7" s="9"/>
      <c r="Z7" s="9"/>
      <c r="AA7" s="9"/>
      <c r="AB7" s="9"/>
      <c r="AC7" s="9"/>
      <c r="AD7" s="9"/>
      <c r="AE7" s="8" t="e">
        <f t="shared" si="0"/>
        <v>#N/A</v>
      </c>
      <c r="AF7" s="52" t="e">
        <f>RANK(AE7,$AE6:$AE30,0)</f>
        <v>#N/A</v>
      </c>
      <c r="AG7" s="47"/>
      <c r="AH7" s="42"/>
      <c r="AI7" s="42" t="s">
        <v>19</v>
      </c>
      <c r="AJ7" s="42">
        <v>5</v>
      </c>
      <c r="AK7" s="42"/>
      <c r="AL7" s="56" t="e">
        <f>VLOOKUP(F7, Table283781015[#All], 2, 0)</f>
        <v>#N/A</v>
      </c>
      <c r="AM7" s="53"/>
      <c r="AN7" s="54" t="e">
        <f>1/AM8</f>
        <v>#N/A</v>
      </c>
      <c r="AO7" s="54" t="e">
        <f>1/AM9</f>
        <v>#N/A</v>
      </c>
      <c r="AP7" s="54" t="e">
        <f>1/AM10</f>
        <v>#N/A</v>
      </c>
      <c r="AQ7" s="54" t="e">
        <f>1/AM11</f>
        <v>#N/A</v>
      </c>
      <c r="AR7" s="54" t="e">
        <f>1/AM12</f>
        <v>#N/A</v>
      </c>
      <c r="AS7" s="54" t="e">
        <f>1/AM13</f>
        <v>#N/A</v>
      </c>
      <c r="AT7" s="54" t="e">
        <f>1/AM14</f>
        <v>#N/A</v>
      </c>
      <c r="AU7" s="54" t="e">
        <f>1/AM15</f>
        <v>#N/A</v>
      </c>
      <c r="AV7" s="54" t="e">
        <f>1/AM16</f>
        <v>#N/A</v>
      </c>
      <c r="AW7" s="54" t="e">
        <f>1/AM17</f>
        <v>#N/A</v>
      </c>
      <c r="AX7" s="54" t="e">
        <f>1/AM18</f>
        <v>#N/A</v>
      </c>
      <c r="AY7" s="54" t="e">
        <f>1/AM19</f>
        <v>#N/A</v>
      </c>
      <c r="AZ7" s="54" t="e">
        <f>1/AM20</f>
        <v>#N/A</v>
      </c>
      <c r="BA7" s="54" t="e">
        <f>1/AM21</f>
        <v>#N/A</v>
      </c>
      <c r="BB7" s="54" t="e">
        <f>1/AM22</f>
        <v>#N/A</v>
      </c>
      <c r="BC7" s="54" t="e">
        <f>1/AM23</f>
        <v>#N/A</v>
      </c>
      <c r="BD7" s="54" t="e">
        <f>1/AM24</f>
        <v>#N/A</v>
      </c>
      <c r="BE7" s="54" t="e">
        <f>1/AM25</f>
        <v>#N/A</v>
      </c>
      <c r="BF7" s="54" t="e">
        <f>1/AM26</f>
        <v>#N/A</v>
      </c>
      <c r="BG7" s="54" t="e">
        <f>1/AM27</f>
        <v>#N/A</v>
      </c>
      <c r="BH7" s="54" t="e">
        <f>1/AM28</f>
        <v>#N/A</v>
      </c>
      <c r="BI7" s="54" t="e">
        <f>1/AM29</f>
        <v>#N/A</v>
      </c>
      <c r="BJ7" s="54" t="e">
        <f>1/AM30</f>
        <v>#N/A</v>
      </c>
      <c r="BK7" s="55" t="e">
        <f t="shared" si="1"/>
        <v>#N/A</v>
      </c>
      <c r="BL7" s="42"/>
      <c r="BM7" s="42"/>
      <c r="BN7" s="42"/>
      <c r="BO7" s="42"/>
      <c r="BP7" s="42"/>
      <c r="BQ7" s="42"/>
      <c r="BR7" s="42"/>
      <c r="BS7" s="42"/>
      <c r="BT7" s="42"/>
      <c r="BU7" s="42"/>
      <c r="BV7" s="42"/>
      <c r="BW7" s="42"/>
      <c r="BX7" s="42"/>
      <c r="BY7" s="42"/>
      <c r="BZ7" s="42"/>
      <c r="CA7" s="42"/>
      <c r="CB7" s="42"/>
    </row>
    <row r="8" spans="1:80" s="43" customFormat="1" ht="50.45" customHeight="1">
      <c r="A8" s="42"/>
      <c r="B8" s="46"/>
      <c r="C8" s="48"/>
      <c r="D8" s="42"/>
      <c r="E8" s="37" t="s">
        <v>331</v>
      </c>
      <c r="F8" s="8"/>
      <c r="G8" s="8"/>
      <c r="H8" s="9"/>
      <c r="I8" s="9"/>
      <c r="J8" s="9"/>
      <c r="K8" s="9"/>
      <c r="L8" s="9"/>
      <c r="M8" s="9"/>
      <c r="N8" s="9"/>
      <c r="O8" s="9"/>
      <c r="P8" s="9"/>
      <c r="Q8" s="9"/>
      <c r="R8" s="9"/>
      <c r="S8" s="9"/>
      <c r="T8" s="9"/>
      <c r="U8" s="9"/>
      <c r="V8" s="9"/>
      <c r="W8" s="9"/>
      <c r="X8" s="9"/>
      <c r="Y8" s="9"/>
      <c r="Z8" s="9"/>
      <c r="AA8" s="9"/>
      <c r="AB8" s="9"/>
      <c r="AC8" s="9"/>
      <c r="AD8" s="9"/>
      <c r="AE8" s="8" t="e">
        <f t="shared" si="0"/>
        <v>#N/A</v>
      </c>
      <c r="AF8" s="52" t="e">
        <f>RANK(AE8,$AE6:$AE30,0)</f>
        <v>#N/A</v>
      </c>
      <c r="AG8" s="47"/>
      <c r="AH8" s="42"/>
      <c r="AI8" s="42" t="s">
        <v>20</v>
      </c>
      <c r="AJ8" s="42">
        <v>1</v>
      </c>
      <c r="AK8" s="42"/>
      <c r="AL8" s="56" t="e">
        <f>VLOOKUP(F8, Table283781015[#All], 2, 0)</f>
        <v>#N/A</v>
      </c>
      <c r="AM8" s="56" t="e">
        <f>VLOOKUP(G8, Table283781015[#All], 2, 0)</f>
        <v>#N/A</v>
      </c>
      <c r="AN8" s="53"/>
      <c r="AO8" s="54" t="e">
        <f>1/AN9</f>
        <v>#N/A</v>
      </c>
      <c r="AP8" s="54" t="e">
        <f>1/AN10</f>
        <v>#N/A</v>
      </c>
      <c r="AQ8" s="54" t="e">
        <f>1/AN11</f>
        <v>#N/A</v>
      </c>
      <c r="AR8" s="54" t="e">
        <f>1/AN12</f>
        <v>#N/A</v>
      </c>
      <c r="AS8" s="54" t="e">
        <f>1/AN13</f>
        <v>#N/A</v>
      </c>
      <c r="AT8" s="54" t="e">
        <f>1/AN14</f>
        <v>#N/A</v>
      </c>
      <c r="AU8" s="54" t="e">
        <f>1/AN15</f>
        <v>#N/A</v>
      </c>
      <c r="AV8" s="54" t="e">
        <f>1/AN16</f>
        <v>#N/A</v>
      </c>
      <c r="AW8" s="54" t="e">
        <f>1/AN17</f>
        <v>#N/A</v>
      </c>
      <c r="AX8" s="54" t="e">
        <f>1/AN18</f>
        <v>#N/A</v>
      </c>
      <c r="AY8" s="54" t="e">
        <f>1/AN19</f>
        <v>#N/A</v>
      </c>
      <c r="AZ8" s="54" t="e">
        <f>1/AN20</f>
        <v>#N/A</v>
      </c>
      <c r="BA8" s="54" t="e">
        <f>1/AN21</f>
        <v>#N/A</v>
      </c>
      <c r="BB8" s="54" t="e">
        <f>1/AN22</f>
        <v>#N/A</v>
      </c>
      <c r="BC8" s="54" t="e">
        <f>1/AN23</f>
        <v>#N/A</v>
      </c>
      <c r="BD8" s="54" t="e">
        <f>1/AN24</f>
        <v>#N/A</v>
      </c>
      <c r="BE8" s="54" t="e">
        <f>1/AN25</f>
        <v>#N/A</v>
      </c>
      <c r="BF8" s="54" t="e">
        <f>1/AN26</f>
        <v>#N/A</v>
      </c>
      <c r="BG8" s="54" t="e">
        <f>1/AN27</f>
        <v>#N/A</v>
      </c>
      <c r="BH8" s="54" t="e">
        <f>1/AN28</f>
        <v>#N/A</v>
      </c>
      <c r="BI8" s="54" t="e">
        <f>1/AN29</f>
        <v>#N/A</v>
      </c>
      <c r="BJ8" s="54" t="e">
        <f>1/AN30</f>
        <v>#N/A</v>
      </c>
      <c r="BK8" s="55" t="e">
        <f t="shared" si="1"/>
        <v>#N/A</v>
      </c>
      <c r="BL8" s="42"/>
      <c r="BM8" s="42"/>
      <c r="BN8" s="42"/>
      <c r="BO8" s="42"/>
      <c r="BP8" s="42"/>
      <c r="BQ8" s="42"/>
      <c r="BR8" s="42"/>
      <c r="BS8" s="42"/>
      <c r="BT8" s="42"/>
      <c r="BU8" s="42"/>
      <c r="BV8" s="42"/>
      <c r="BW8" s="42"/>
      <c r="BX8" s="42"/>
      <c r="BY8" s="42"/>
      <c r="BZ8" s="42"/>
      <c r="CA8" s="42"/>
      <c r="CB8" s="42"/>
    </row>
    <row r="9" spans="1:80" s="43" customFormat="1" ht="52.5" customHeight="1">
      <c r="A9" s="42"/>
      <c r="B9" s="46"/>
      <c r="C9" s="48"/>
      <c r="D9" s="42"/>
      <c r="E9" s="38" t="s">
        <v>112</v>
      </c>
      <c r="F9" s="8"/>
      <c r="G9" s="8"/>
      <c r="H9" s="10"/>
      <c r="I9" s="9"/>
      <c r="J9" s="9"/>
      <c r="K9" s="9"/>
      <c r="L9" s="9"/>
      <c r="M9" s="9"/>
      <c r="N9" s="9"/>
      <c r="O9" s="9"/>
      <c r="P9" s="9"/>
      <c r="Q9" s="9"/>
      <c r="R9" s="9"/>
      <c r="S9" s="9"/>
      <c r="T9" s="9"/>
      <c r="U9" s="9"/>
      <c r="V9" s="9"/>
      <c r="W9" s="9"/>
      <c r="X9" s="9"/>
      <c r="Y9" s="9"/>
      <c r="Z9" s="9"/>
      <c r="AA9" s="9"/>
      <c r="AB9" s="9"/>
      <c r="AC9" s="9"/>
      <c r="AD9" s="9"/>
      <c r="AE9" s="8" t="e">
        <f t="shared" si="0"/>
        <v>#N/A</v>
      </c>
      <c r="AF9" s="52" t="e">
        <f>RANK(AE9,$AE6:$AE30,0)</f>
        <v>#N/A</v>
      </c>
      <c r="AG9" s="47"/>
      <c r="AH9" s="42"/>
      <c r="AI9" s="42" t="s">
        <v>21</v>
      </c>
      <c r="AJ9" s="42">
        <v>0.2</v>
      </c>
      <c r="AK9" s="42"/>
      <c r="AL9" s="56" t="e">
        <f>VLOOKUP(F9, Table283781015[#All], 2, 0)</f>
        <v>#N/A</v>
      </c>
      <c r="AM9" s="56" t="e">
        <f>VLOOKUP(G9, Table283781015[#All], 2, 0)</f>
        <v>#N/A</v>
      </c>
      <c r="AN9" s="56" t="e">
        <f>VLOOKUP(H9, Table283781015[#All], 2, 0)</f>
        <v>#N/A</v>
      </c>
      <c r="AO9" s="53"/>
      <c r="AP9" s="54" t="e">
        <f>1/AO10</f>
        <v>#N/A</v>
      </c>
      <c r="AQ9" s="54" t="e">
        <f>1/AO11</f>
        <v>#N/A</v>
      </c>
      <c r="AR9" s="54" t="e">
        <f>1/AO12</f>
        <v>#N/A</v>
      </c>
      <c r="AS9" s="54" t="e">
        <f>1/AO13</f>
        <v>#N/A</v>
      </c>
      <c r="AT9" s="54" t="e">
        <f>1/AO14</f>
        <v>#N/A</v>
      </c>
      <c r="AU9" s="54" t="e">
        <f>1/AO15</f>
        <v>#N/A</v>
      </c>
      <c r="AV9" s="54" t="e">
        <f>1/AO16</f>
        <v>#N/A</v>
      </c>
      <c r="AW9" s="54" t="e">
        <f>1/AO17</f>
        <v>#N/A</v>
      </c>
      <c r="AX9" s="54" t="e">
        <f>1/AO18</f>
        <v>#N/A</v>
      </c>
      <c r="AY9" s="54" t="e">
        <f>1/AO19</f>
        <v>#N/A</v>
      </c>
      <c r="AZ9" s="54" t="e">
        <f>1/AO20</f>
        <v>#N/A</v>
      </c>
      <c r="BA9" s="54" t="e">
        <f>1/AO21</f>
        <v>#N/A</v>
      </c>
      <c r="BB9" s="54" t="e">
        <f>1/AO22</f>
        <v>#N/A</v>
      </c>
      <c r="BC9" s="54" t="e">
        <f>1/AO23</f>
        <v>#N/A</v>
      </c>
      <c r="BD9" s="54" t="e">
        <f>1/AO24</f>
        <v>#N/A</v>
      </c>
      <c r="BE9" s="54" t="e">
        <f>1/AO25</f>
        <v>#N/A</v>
      </c>
      <c r="BF9" s="54" t="e">
        <f>1/AO26</f>
        <v>#N/A</v>
      </c>
      <c r="BG9" s="54" t="e">
        <f>1/AO27</f>
        <v>#N/A</v>
      </c>
      <c r="BH9" s="54" t="e">
        <f>1/AO28</f>
        <v>#N/A</v>
      </c>
      <c r="BI9" s="54" t="e">
        <f>1/AO29</f>
        <v>#N/A</v>
      </c>
      <c r="BJ9" s="54" t="e">
        <f>1/AO30</f>
        <v>#N/A</v>
      </c>
      <c r="BK9" s="55" t="e">
        <f t="shared" si="1"/>
        <v>#N/A</v>
      </c>
      <c r="BL9" s="42"/>
      <c r="BM9" s="42"/>
      <c r="BN9" s="42"/>
      <c r="BO9" s="42"/>
      <c r="BP9" s="42"/>
      <c r="BQ9" s="42"/>
      <c r="BR9" s="42"/>
      <c r="BS9" s="42"/>
      <c r="BT9" s="42"/>
      <c r="BU9" s="42"/>
      <c r="BV9" s="42"/>
      <c r="BW9" s="42"/>
      <c r="BX9" s="42"/>
      <c r="BY9" s="42"/>
      <c r="BZ9" s="42"/>
      <c r="CA9" s="42"/>
      <c r="CB9" s="42"/>
    </row>
    <row r="10" spans="1:80" s="43" customFormat="1" ht="67.5" customHeight="1">
      <c r="A10" s="42"/>
      <c r="B10" s="46"/>
      <c r="C10" s="48"/>
      <c r="D10" s="42"/>
      <c r="E10" s="38" t="s">
        <v>332</v>
      </c>
      <c r="F10" s="10"/>
      <c r="G10" s="8"/>
      <c r="H10" s="8"/>
      <c r="I10" s="10"/>
      <c r="J10" s="11"/>
      <c r="K10" s="11"/>
      <c r="L10" s="11"/>
      <c r="M10" s="11"/>
      <c r="N10" s="11"/>
      <c r="O10" s="11"/>
      <c r="P10" s="11"/>
      <c r="Q10" s="11"/>
      <c r="R10" s="11"/>
      <c r="S10" s="11"/>
      <c r="T10" s="11"/>
      <c r="U10" s="11"/>
      <c r="V10" s="11"/>
      <c r="W10" s="11"/>
      <c r="X10" s="11"/>
      <c r="Y10" s="11"/>
      <c r="Z10" s="11"/>
      <c r="AA10" s="11"/>
      <c r="AB10" s="11"/>
      <c r="AC10" s="11"/>
      <c r="AD10" s="11"/>
      <c r="AE10" s="8" t="e">
        <f t="shared" si="0"/>
        <v>#N/A</v>
      </c>
      <c r="AF10" s="52" t="e">
        <f>RANK(AE10,$AE6:$AE30,0)</f>
        <v>#N/A</v>
      </c>
      <c r="AG10" s="47"/>
      <c r="AH10" s="42"/>
      <c r="AI10" s="42" t="s">
        <v>22</v>
      </c>
      <c r="AJ10" s="42">
        <v>0.1</v>
      </c>
      <c r="AK10" s="42"/>
      <c r="AL10" s="56" t="e">
        <f>VLOOKUP(F10, Table283781015[#All], 2, 0)</f>
        <v>#N/A</v>
      </c>
      <c r="AM10" s="56" t="e">
        <f>VLOOKUP(G10, Table283781015[#All], 2, 0)</f>
        <v>#N/A</v>
      </c>
      <c r="AN10" s="56" t="e">
        <f>VLOOKUP(H10, Table283781015[#All], 2, 0)</f>
        <v>#N/A</v>
      </c>
      <c r="AO10" s="56" t="e">
        <f>VLOOKUP(I10, Table283781015[#All], 2, 0)</f>
        <v>#N/A</v>
      </c>
      <c r="AP10" s="53"/>
      <c r="AQ10" s="54" t="e">
        <f>1/AP11</f>
        <v>#N/A</v>
      </c>
      <c r="AR10" s="54" t="e">
        <f>1/AP12</f>
        <v>#N/A</v>
      </c>
      <c r="AS10" s="54" t="e">
        <f>1/AP13</f>
        <v>#N/A</v>
      </c>
      <c r="AT10" s="54" t="e">
        <f>1/AP14</f>
        <v>#N/A</v>
      </c>
      <c r="AU10" s="54" t="e">
        <f>1/AP15</f>
        <v>#N/A</v>
      </c>
      <c r="AV10" s="54" t="e">
        <f>1/AP16</f>
        <v>#N/A</v>
      </c>
      <c r="AW10" s="54" t="e">
        <f>1/AP17</f>
        <v>#N/A</v>
      </c>
      <c r="AX10" s="54" t="e">
        <f>1/AP18</f>
        <v>#N/A</v>
      </c>
      <c r="AY10" s="54" t="e">
        <f>1/AP19</f>
        <v>#N/A</v>
      </c>
      <c r="AZ10" s="54" t="e">
        <f>1/AP20</f>
        <v>#N/A</v>
      </c>
      <c r="BA10" s="54" t="e">
        <f>1/AP21</f>
        <v>#N/A</v>
      </c>
      <c r="BB10" s="54" t="e">
        <f>1/AP22</f>
        <v>#N/A</v>
      </c>
      <c r="BC10" s="54" t="e">
        <f>1/AP23</f>
        <v>#N/A</v>
      </c>
      <c r="BD10" s="54" t="e">
        <f>1/AP24</f>
        <v>#N/A</v>
      </c>
      <c r="BE10" s="54" t="e">
        <f>1/AP25</f>
        <v>#N/A</v>
      </c>
      <c r="BF10" s="54" t="e">
        <f>1/AP26</f>
        <v>#N/A</v>
      </c>
      <c r="BG10" s="54" t="e">
        <f>1/AP27</f>
        <v>#N/A</v>
      </c>
      <c r="BH10" s="54" t="e">
        <f>1/AP28</f>
        <v>#N/A</v>
      </c>
      <c r="BI10" s="54" t="e">
        <f>1/AP29</f>
        <v>#N/A</v>
      </c>
      <c r="BJ10" s="54" t="e">
        <f>1/AP30</f>
        <v>#N/A</v>
      </c>
      <c r="BK10" s="55" t="e">
        <f t="shared" si="1"/>
        <v>#N/A</v>
      </c>
      <c r="BL10" s="42"/>
      <c r="BM10" s="42"/>
      <c r="BN10" s="42"/>
      <c r="BO10" s="42"/>
      <c r="BP10" s="42"/>
      <c r="BQ10" s="42"/>
      <c r="BR10" s="42"/>
      <c r="BS10" s="42"/>
      <c r="BT10" s="42"/>
      <c r="BU10" s="42"/>
      <c r="BV10" s="42"/>
      <c r="BW10" s="42"/>
      <c r="BX10" s="42"/>
      <c r="BY10" s="42"/>
      <c r="BZ10" s="42"/>
      <c r="CA10" s="42"/>
      <c r="CB10" s="42"/>
    </row>
    <row r="11" spans="1:80" s="43" customFormat="1" ht="56.45" customHeight="1">
      <c r="A11" s="42"/>
      <c r="B11" s="46"/>
      <c r="C11" s="48"/>
      <c r="D11" s="42"/>
      <c r="E11" s="38" t="s">
        <v>333</v>
      </c>
      <c r="F11" s="8"/>
      <c r="G11" s="8"/>
      <c r="H11" s="10"/>
      <c r="I11" s="8"/>
      <c r="J11" s="8"/>
      <c r="K11" s="11"/>
      <c r="L11" s="11"/>
      <c r="M11" s="11"/>
      <c r="N11" s="11"/>
      <c r="O11" s="11"/>
      <c r="P11" s="11"/>
      <c r="Q11" s="11"/>
      <c r="R11" s="11"/>
      <c r="S11" s="11"/>
      <c r="T11" s="11"/>
      <c r="U11" s="11"/>
      <c r="V11" s="11"/>
      <c r="W11" s="11"/>
      <c r="X11" s="11"/>
      <c r="Y11" s="11"/>
      <c r="Z11" s="11"/>
      <c r="AA11" s="11"/>
      <c r="AB11" s="11"/>
      <c r="AC11" s="11"/>
      <c r="AD11" s="11"/>
      <c r="AE11" s="8" t="e">
        <f t="shared" si="0"/>
        <v>#N/A</v>
      </c>
      <c r="AF11" s="52" t="e">
        <f>RANK(AE11,$AE6:$AE30,0)</f>
        <v>#N/A</v>
      </c>
      <c r="AG11" s="47"/>
      <c r="AH11" s="42"/>
      <c r="AI11" s="42"/>
      <c r="AJ11" s="42"/>
      <c r="AK11" s="42"/>
      <c r="AL11" s="56" t="e">
        <f>VLOOKUP(F11, Table283781015[#All], 2, 0)</f>
        <v>#N/A</v>
      </c>
      <c r="AM11" s="56" t="e">
        <f>VLOOKUP(G11, Table283781015[#All], 2, 0)</f>
        <v>#N/A</v>
      </c>
      <c r="AN11" s="56" t="e">
        <f>VLOOKUP(H11, Table283781015[#All], 2, 0)</f>
        <v>#N/A</v>
      </c>
      <c r="AO11" s="56" t="e">
        <f>VLOOKUP(I11, Table283781015[#All], 2, 0)</f>
        <v>#N/A</v>
      </c>
      <c r="AP11" s="56" t="e">
        <f>VLOOKUP(J11, Table283781015[#All], 2, 0)</f>
        <v>#N/A</v>
      </c>
      <c r="AQ11" s="53"/>
      <c r="AR11" s="54" t="e">
        <f>1/AQ12</f>
        <v>#N/A</v>
      </c>
      <c r="AS11" s="54" t="e">
        <f>1/AQ13</f>
        <v>#N/A</v>
      </c>
      <c r="AT11" s="54" t="e">
        <f>1/AQ14</f>
        <v>#N/A</v>
      </c>
      <c r="AU11" s="54" t="e">
        <f>1/AQ15</f>
        <v>#N/A</v>
      </c>
      <c r="AV11" s="54" t="e">
        <f t="shared" ref="AV11" si="2">1/AQ16</f>
        <v>#N/A</v>
      </c>
      <c r="AW11" s="54" t="e">
        <f>1/AQ17</f>
        <v>#N/A</v>
      </c>
      <c r="AX11" s="54" t="e">
        <f>1/AQ18</f>
        <v>#N/A</v>
      </c>
      <c r="AY11" s="54" t="e">
        <f>1/AQ19</f>
        <v>#N/A</v>
      </c>
      <c r="AZ11" s="54" t="e">
        <f>1/AQ20</f>
        <v>#N/A</v>
      </c>
      <c r="BA11" s="54" t="e">
        <f>1/AQ21</f>
        <v>#N/A</v>
      </c>
      <c r="BB11" s="54" t="e">
        <f>1/AQ22</f>
        <v>#N/A</v>
      </c>
      <c r="BC11" s="54" t="e">
        <f>1/AQ23</f>
        <v>#N/A</v>
      </c>
      <c r="BD11" s="54" t="e">
        <f>1/AQ24</f>
        <v>#N/A</v>
      </c>
      <c r="BE11" s="54" t="e">
        <f>1/AQ25</f>
        <v>#N/A</v>
      </c>
      <c r="BF11" s="54" t="e">
        <f>1/AQ26</f>
        <v>#N/A</v>
      </c>
      <c r="BG11" s="54" t="e">
        <f>1/AQ27</f>
        <v>#N/A</v>
      </c>
      <c r="BH11" s="54" t="e">
        <f>1/AQ28</f>
        <v>#N/A</v>
      </c>
      <c r="BI11" s="54" t="e">
        <f>1/AQ29</f>
        <v>#N/A</v>
      </c>
      <c r="BJ11" s="54" t="e">
        <f>1/AQ30</f>
        <v>#N/A</v>
      </c>
      <c r="BK11" s="55" t="e">
        <f t="shared" si="1"/>
        <v>#N/A</v>
      </c>
      <c r="BL11" s="42"/>
      <c r="BM11" s="42"/>
      <c r="BN11" s="42"/>
      <c r="BO11" s="42"/>
      <c r="BP11" s="42"/>
      <c r="BQ11" s="42"/>
      <c r="BR11" s="42"/>
      <c r="BS11" s="42"/>
      <c r="BT11" s="42"/>
      <c r="BU11" s="42"/>
      <c r="BV11" s="42"/>
      <c r="BW11" s="42"/>
      <c r="BX11" s="42"/>
      <c r="BY11" s="42"/>
      <c r="BZ11" s="42"/>
      <c r="CA11" s="42"/>
      <c r="CB11" s="42"/>
    </row>
    <row r="12" spans="1:80" s="43" customFormat="1" ht="55.9" customHeight="1">
      <c r="A12" s="42"/>
      <c r="B12" s="46"/>
      <c r="C12" s="48"/>
      <c r="D12" s="42"/>
      <c r="E12" s="38" t="s">
        <v>334</v>
      </c>
      <c r="F12" s="10"/>
      <c r="G12" s="8"/>
      <c r="H12" s="8"/>
      <c r="I12" s="8"/>
      <c r="J12" s="8"/>
      <c r="K12" s="8"/>
      <c r="L12" s="11"/>
      <c r="M12" s="11"/>
      <c r="N12" s="11"/>
      <c r="O12" s="11"/>
      <c r="P12" s="11"/>
      <c r="Q12" s="11"/>
      <c r="R12" s="11"/>
      <c r="S12" s="11"/>
      <c r="T12" s="11"/>
      <c r="U12" s="11"/>
      <c r="V12" s="11"/>
      <c r="W12" s="11"/>
      <c r="X12" s="11"/>
      <c r="Y12" s="11"/>
      <c r="Z12" s="11"/>
      <c r="AA12" s="11"/>
      <c r="AB12" s="11"/>
      <c r="AC12" s="11"/>
      <c r="AD12" s="11"/>
      <c r="AE12" s="8" t="e">
        <f t="shared" si="0"/>
        <v>#N/A</v>
      </c>
      <c r="AF12" s="52" t="e">
        <f>RANK(AE12,$AE6:$AE30,0)</f>
        <v>#N/A</v>
      </c>
      <c r="AG12" s="47"/>
      <c r="AH12" s="42"/>
      <c r="AI12" s="42"/>
      <c r="AJ12" s="42"/>
      <c r="AK12" s="42"/>
      <c r="AL12" s="56" t="e">
        <f>VLOOKUP(F12, Table283781015[#All], 2, 0)</f>
        <v>#N/A</v>
      </c>
      <c r="AM12" s="56" t="e">
        <f>VLOOKUP(G12, Table283781015[#All], 2, 0)</f>
        <v>#N/A</v>
      </c>
      <c r="AN12" s="56" t="e">
        <f>VLOOKUP(H12, Table283781015[#All], 2, 0)</f>
        <v>#N/A</v>
      </c>
      <c r="AO12" s="56" t="e">
        <f>VLOOKUP(I12, Table283781015[#All], 2, 0)</f>
        <v>#N/A</v>
      </c>
      <c r="AP12" s="56" t="e">
        <f>VLOOKUP(J12, Table283781015[#All], 2, 0)</f>
        <v>#N/A</v>
      </c>
      <c r="AQ12" s="56" t="e">
        <f>VLOOKUP(K12, Table283781015[#All], 2, 0)</f>
        <v>#N/A</v>
      </c>
      <c r="AR12" s="53"/>
      <c r="AS12" s="54" t="e">
        <f>1/AR13</f>
        <v>#N/A</v>
      </c>
      <c r="AT12" s="54" t="e">
        <f>1/AR14</f>
        <v>#N/A</v>
      </c>
      <c r="AU12" s="54" t="e">
        <f>1/AR15</f>
        <v>#N/A</v>
      </c>
      <c r="AV12" s="54" t="e">
        <f>1/AR16</f>
        <v>#N/A</v>
      </c>
      <c r="AW12" s="54" t="e">
        <f t="shared" ref="AW12" si="3">1/AR17</f>
        <v>#N/A</v>
      </c>
      <c r="AX12" s="54" t="e">
        <f>1/AR18</f>
        <v>#N/A</v>
      </c>
      <c r="AY12" s="54" t="e">
        <f>1/AR19</f>
        <v>#N/A</v>
      </c>
      <c r="AZ12" s="54" t="e">
        <f>1/AR20</f>
        <v>#N/A</v>
      </c>
      <c r="BA12" s="54" t="e">
        <f>1/AR21</f>
        <v>#N/A</v>
      </c>
      <c r="BB12" s="54" t="e">
        <f>1/AR22</f>
        <v>#N/A</v>
      </c>
      <c r="BC12" s="54" t="e">
        <f>1/AR23</f>
        <v>#N/A</v>
      </c>
      <c r="BD12" s="54" t="e">
        <f>1/AR24</f>
        <v>#N/A</v>
      </c>
      <c r="BE12" s="54" t="e">
        <f>1/AR25</f>
        <v>#N/A</v>
      </c>
      <c r="BF12" s="54" t="e">
        <f>1/AR26</f>
        <v>#N/A</v>
      </c>
      <c r="BG12" s="54" t="e">
        <f>1/AR27</f>
        <v>#N/A</v>
      </c>
      <c r="BH12" s="54" t="e">
        <f>1/AR28</f>
        <v>#N/A</v>
      </c>
      <c r="BI12" s="54" t="e">
        <f>1/AR29</f>
        <v>#N/A</v>
      </c>
      <c r="BJ12" s="54" t="e">
        <f>1/AR30</f>
        <v>#N/A</v>
      </c>
      <c r="BK12" s="55" t="e">
        <f t="shared" si="1"/>
        <v>#N/A</v>
      </c>
      <c r="BL12" s="42"/>
      <c r="BM12" s="42"/>
      <c r="BN12" s="42"/>
      <c r="BO12" s="42"/>
      <c r="BP12" s="42"/>
      <c r="BQ12" s="42"/>
      <c r="BR12" s="42"/>
      <c r="BS12" s="42"/>
      <c r="BT12" s="42"/>
      <c r="BU12" s="42"/>
      <c r="BV12" s="42"/>
      <c r="BW12" s="42"/>
      <c r="BX12" s="42"/>
      <c r="BY12" s="42"/>
      <c r="BZ12" s="42"/>
      <c r="CA12" s="42"/>
      <c r="CB12" s="42"/>
    </row>
    <row r="13" spans="1:80" s="43" customFormat="1" ht="64.5" customHeight="1">
      <c r="A13" s="42"/>
      <c r="B13" s="46"/>
      <c r="C13" s="48"/>
      <c r="D13" s="42"/>
      <c r="E13" s="38" t="s">
        <v>335</v>
      </c>
      <c r="F13" s="10"/>
      <c r="G13" s="10"/>
      <c r="H13" s="10"/>
      <c r="I13" s="8"/>
      <c r="J13" s="8"/>
      <c r="K13" s="10"/>
      <c r="L13" s="10"/>
      <c r="M13" s="12"/>
      <c r="N13" s="12"/>
      <c r="O13" s="12"/>
      <c r="P13" s="12"/>
      <c r="Q13" s="12"/>
      <c r="R13" s="12"/>
      <c r="S13" s="12"/>
      <c r="T13" s="12"/>
      <c r="U13" s="12"/>
      <c r="V13" s="12"/>
      <c r="W13" s="12"/>
      <c r="X13" s="12"/>
      <c r="Y13" s="12"/>
      <c r="Z13" s="12"/>
      <c r="AA13" s="12"/>
      <c r="AB13" s="12"/>
      <c r="AC13" s="12"/>
      <c r="AD13" s="12"/>
      <c r="AE13" s="8" t="e">
        <f t="shared" si="0"/>
        <v>#N/A</v>
      </c>
      <c r="AF13" s="52" t="e">
        <f>RANK(AE13,$AE6:$AE30,0)</f>
        <v>#N/A</v>
      </c>
      <c r="AG13" s="47"/>
      <c r="AH13" s="42"/>
      <c r="AI13" s="42"/>
      <c r="AJ13" s="42"/>
      <c r="AK13" s="42"/>
      <c r="AL13" s="56" t="e">
        <f>VLOOKUP(F13, Table283781015[#All], 2, 0)</f>
        <v>#N/A</v>
      </c>
      <c r="AM13" s="56" t="e">
        <f>VLOOKUP(G13, Table283781015[#All], 2, 0)</f>
        <v>#N/A</v>
      </c>
      <c r="AN13" s="56" t="e">
        <f>VLOOKUP(H13, Table283781015[#All], 2, 0)</f>
        <v>#N/A</v>
      </c>
      <c r="AO13" s="56" t="e">
        <f>VLOOKUP(I13, Table283781015[#All], 2, 0)</f>
        <v>#N/A</v>
      </c>
      <c r="AP13" s="56" t="e">
        <f>VLOOKUP(J13, Table283781015[#All], 2, 0)</f>
        <v>#N/A</v>
      </c>
      <c r="AQ13" s="56" t="e">
        <f>VLOOKUP(K13, Table283781015[#All], 2, 0)</f>
        <v>#N/A</v>
      </c>
      <c r="AR13" s="56" t="e">
        <f>VLOOKUP(L13, Table283781015[#All], 2, 0)</f>
        <v>#N/A</v>
      </c>
      <c r="AS13" s="66"/>
      <c r="AT13" s="67" t="e">
        <f>1/AS14</f>
        <v>#N/A</v>
      </c>
      <c r="AU13" s="54" t="e">
        <f>1/AS15</f>
        <v>#N/A</v>
      </c>
      <c r="AV13" s="54" t="e">
        <f>1/AS16</f>
        <v>#N/A</v>
      </c>
      <c r="AW13" s="54" t="e">
        <f>1/AS17</f>
        <v>#N/A</v>
      </c>
      <c r="AX13" s="54" t="e">
        <f>1/AS18</f>
        <v>#N/A</v>
      </c>
      <c r="AY13" s="54" t="e">
        <f>1/AS19</f>
        <v>#N/A</v>
      </c>
      <c r="AZ13" s="54" t="e">
        <f>1/AS20</f>
        <v>#N/A</v>
      </c>
      <c r="BA13" s="54" t="e">
        <f>1/AS21</f>
        <v>#N/A</v>
      </c>
      <c r="BB13" s="54" t="e">
        <f>1/AS22</f>
        <v>#N/A</v>
      </c>
      <c r="BC13" s="54" t="e">
        <f>1/AS23</f>
        <v>#N/A</v>
      </c>
      <c r="BD13" s="54" t="e">
        <f>1/AS24</f>
        <v>#N/A</v>
      </c>
      <c r="BE13" s="54" t="e">
        <f>1/AS25</f>
        <v>#N/A</v>
      </c>
      <c r="BF13" s="54" t="e">
        <f>1/AS26</f>
        <v>#N/A</v>
      </c>
      <c r="BG13" s="54" t="e">
        <f>1/AS27</f>
        <v>#N/A</v>
      </c>
      <c r="BH13" s="54" t="e">
        <f>1/AS28</f>
        <v>#N/A</v>
      </c>
      <c r="BI13" s="54" t="e">
        <f>1/AS29</f>
        <v>#N/A</v>
      </c>
      <c r="BJ13" s="54" t="e">
        <f>1/AS30</f>
        <v>#N/A</v>
      </c>
      <c r="BK13" s="55" t="e">
        <f t="shared" si="1"/>
        <v>#N/A</v>
      </c>
      <c r="BL13" s="42"/>
      <c r="BM13" s="42"/>
      <c r="BN13" s="42"/>
      <c r="BO13" s="42"/>
      <c r="BP13" s="42"/>
      <c r="BQ13" s="42"/>
      <c r="BR13" s="42"/>
      <c r="BS13" s="42"/>
      <c r="BT13" s="42"/>
      <c r="BU13" s="42"/>
      <c r="BV13" s="42"/>
      <c r="BW13" s="42"/>
      <c r="BX13" s="42"/>
      <c r="BY13" s="42"/>
      <c r="BZ13" s="42"/>
      <c r="CA13" s="42"/>
      <c r="CB13" s="42"/>
    </row>
    <row r="14" spans="1:80" s="43" customFormat="1" ht="51" customHeight="1" thickBot="1">
      <c r="A14" s="42"/>
      <c r="B14" s="46"/>
      <c r="C14" s="61"/>
      <c r="D14" s="42"/>
      <c r="E14" s="38" t="s">
        <v>336</v>
      </c>
      <c r="F14" s="8"/>
      <c r="G14" s="8"/>
      <c r="H14" s="10"/>
      <c r="I14" s="8"/>
      <c r="J14" s="8"/>
      <c r="K14" s="8"/>
      <c r="L14" s="10"/>
      <c r="M14" s="10"/>
      <c r="N14" s="12"/>
      <c r="O14" s="12"/>
      <c r="P14" s="12"/>
      <c r="Q14" s="12"/>
      <c r="R14" s="12"/>
      <c r="S14" s="12"/>
      <c r="T14" s="12"/>
      <c r="U14" s="12"/>
      <c r="V14" s="12"/>
      <c r="W14" s="12"/>
      <c r="X14" s="12"/>
      <c r="Y14" s="12"/>
      <c r="Z14" s="12"/>
      <c r="AA14" s="12"/>
      <c r="AB14" s="12"/>
      <c r="AC14" s="12"/>
      <c r="AD14" s="12"/>
      <c r="AE14" s="8" t="e">
        <f t="shared" si="0"/>
        <v>#N/A</v>
      </c>
      <c r="AF14" s="52" t="e">
        <f>RANK(AE14,$AE6:$AE30,0)</f>
        <v>#N/A</v>
      </c>
      <c r="AG14" s="47"/>
      <c r="AH14" s="42"/>
      <c r="AI14" s="42"/>
      <c r="AJ14" s="42"/>
      <c r="AK14" s="42"/>
      <c r="AL14" s="56" t="e">
        <f>VLOOKUP(F14, Table283781015[#All], 2, 0)</f>
        <v>#N/A</v>
      </c>
      <c r="AM14" s="56" t="e">
        <f>VLOOKUP(G14, Table283781015[#All], 2, 0)</f>
        <v>#N/A</v>
      </c>
      <c r="AN14" s="56" t="e">
        <f>VLOOKUP(H14, Table283781015[#All], 2, 0)</f>
        <v>#N/A</v>
      </c>
      <c r="AO14" s="56" t="e">
        <f>VLOOKUP(I14, Table283781015[#All], 2, 0)</f>
        <v>#N/A</v>
      </c>
      <c r="AP14" s="56" t="e">
        <f>VLOOKUP(J14, Table283781015[#All], 2, 0)</f>
        <v>#N/A</v>
      </c>
      <c r="AQ14" s="56" t="e">
        <f>VLOOKUP(K14, Table283781015[#All], 2, 0)</f>
        <v>#N/A</v>
      </c>
      <c r="AR14" s="56" t="e">
        <f>VLOOKUP(L14, Table283781015[#All], 2, 0)</f>
        <v>#N/A</v>
      </c>
      <c r="AS14" s="56" t="e">
        <f>VLOOKUP(M14, Table283781015[#All], 2, 0)</f>
        <v>#N/A</v>
      </c>
      <c r="AT14" s="66"/>
      <c r="AU14" s="54" t="e">
        <f>1/AT15</f>
        <v>#N/A</v>
      </c>
      <c r="AV14" s="54" t="e">
        <f>1/AT16</f>
        <v>#N/A</v>
      </c>
      <c r="AW14" s="54" t="e">
        <f>1/AT17</f>
        <v>#N/A</v>
      </c>
      <c r="AX14" s="54" t="e">
        <f>1/AT18</f>
        <v>#N/A</v>
      </c>
      <c r="AY14" s="54" t="e">
        <f>1/AT19</f>
        <v>#N/A</v>
      </c>
      <c r="AZ14" s="54" t="e">
        <f>1/AT20</f>
        <v>#N/A</v>
      </c>
      <c r="BA14" s="54" t="e">
        <f>1/AT21</f>
        <v>#N/A</v>
      </c>
      <c r="BB14" s="54" t="e">
        <f>1/AT22</f>
        <v>#N/A</v>
      </c>
      <c r="BC14" s="54" t="e">
        <f>1/AT23</f>
        <v>#N/A</v>
      </c>
      <c r="BD14" s="54" t="e">
        <f>1/AT24</f>
        <v>#N/A</v>
      </c>
      <c r="BE14" s="54" t="e">
        <f>1/AT25</f>
        <v>#N/A</v>
      </c>
      <c r="BF14" s="54" t="e">
        <f>1/AT26</f>
        <v>#N/A</v>
      </c>
      <c r="BG14" s="54" t="e">
        <f>1/AT27</f>
        <v>#N/A</v>
      </c>
      <c r="BH14" s="54" t="e">
        <f>1/AT28</f>
        <v>#N/A</v>
      </c>
      <c r="BI14" s="54" t="e">
        <f>1/AT29</f>
        <v>#N/A</v>
      </c>
      <c r="BJ14" s="54" t="e">
        <f>1/AT30</f>
        <v>#N/A</v>
      </c>
      <c r="BK14" s="55" t="e">
        <f t="shared" si="1"/>
        <v>#N/A</v>
      </c>
      <c r="BL14" s="42"/>
      <c r="BM14" s="42"/>
      <c r="BN14" s="42"/>
      <c r="BO14" s="42"/>
      <c r="BP14" s="42"/>
      <c r="BQ14" s="42"/>
      <c r="BR14" s="42"/>
      <c r="BS14" s="42"/>
      <c r="BT14" s="42"/>
      <c r="BU14" s="42"/>
      <c r="BV14" s="42"/>
      <c r="BW14" s="42"/>
      <c r="BX14" s="42"/>
      <c r="BY14" s="42"/>
      <c r="BZ14" s="42"/>
      <c r="CA14" s="42"/>
      <c r="CB14" s="42"/>
    </row>
    <row r="15" spans="1:80" s="43" customFormat="1" ht="57.95" customHeight="1">
      <c r="A15" s="42"/>
      <c r="B15" s="46"/>
      <c r="C15" s="69"/>
      <c r="D15" s="42"/>
      <c r="E15" s="38" t="s">
        <v>113</v>
      </c>
      <c r="F15" s="10"/>
      <c r="G15" s="10"/>
      <c r="H15" s="8"/>
      <c r="I15" s="10"/>
      <c r="J15" s="8"/>
      <c r="K15" s="10"/>
      <c r="L15" s="8"/>
      <c r="M15" s="10"/>
      <c r="N15" s="8"/>
      <c r="O15" s="12"/>
      <c r="P15" s="12"/>
      <c r="Q15" s="12"/>
      <c r="R15" s="12"/>
      <c r="S15" s="12"/>
      <c r="T15" s="12"/>
      <c r="U15" s="12"/>
      <c r="V15" s="12"/>
      <c r="W15" s="12"/>
      <c r="X15" s="12"/>
      <c r="Y15" s="12"/>
      <c r="Z15" s="12"/>
      <c r="AA15" s="12"/>
      <c r="AB15" s="12"/>
      <c r="AC15" s="12"/>
      <c r="AD15" s="12"/>
      <c r="AE15" s="8" t="e">
        <f t="shared" si="0"/>
        <v>#N/A</v>
      </c>
      <c r="AF15" s="52" t="e">
        <f>RANK(AE15,$AE6:$AE30,0)</f>
        <v>#N/A</v>
      </c>
      <c r="AG15" s="47"/>
      <c r="AH15" s="42"/>
      <c r="AI15" s="42"/>
      <c r="AJ15" s="42"/>
      <c r="AK15" s="42"/>
      <c r="AL15" s="56" t="e">
        <f>VLOOKUP(F15, Table283781015[#All], 2, 0)</f>
        <v>#N/A</v>
      </c>
      <c r="AM15" s="56" t="e">
        <f>VLOOKUP(G15, Table283781015[#All], 2, 0)</f>
        <v>#N/A</v>
      </c>
      <c r="AN15" s="56" t="e">
        <f>VLOOKUP(H15, Table283781015[#All], 2, 0)</f>
        <v>#N/A</v>
      </c>
      <c r="AO15" s="56" t="e">
        <f>VLOOKUP(I15, Table283781015[#All], 2, 0)</f>
        <v>#N/A</v>
      </c>
      <c r="AP15" s="56" t="e">
        <f>VLOOKUP(J15, Table283781015[#All], 2, 0)</f>
        <v>#N/A</v>
      </c>
      <c r="AQ15" s="56" t="e">
        <f>VLOOKUP(K15, Table283781015[#All], 2, 0)</f>
        <v>#N/A</v>
      </c>
      <c r="AR15" s="56" t="e">
        <f>VLOOKUP(L15, Table283781015[#All], 2, 0)</f>
        <v>#N/A</v>
      </c>
      <c r="AS15" s="56" t="e">
        <f>VLOOKUP(M15, Table283781015[#All], 2, 0)</f>
        <v>#N/A</v>
      </c>
      <c r="AT15" s="56" t="e">
        <f>VLOOKUP(N15, Table283781015[#All], 2, 0)</f>
        <v>#N/A</v>
      </c>
      <c r="AU15" s="58"/>
      <c r="AV15" s="54" t="e">
        <f>1/AU16</f>
        <v>#N/A</v>
      </c>
      <c r="AW15" s="54" t="e">
        <f>1/AU17</f>
        <v>#N/A</v>
      </c>
      <c r="AX15" s="54" t="e">
        <f>1/AU18</f>
        <v>#N/A</v>
      </c>
      <c r="AY15" s="54" t="e">
        <f>1/AU19</f>
        <v>#N/A</v>
      </c>
      <c r="AZ15" s="54" t="e">
        <f>1/AU20</f>
        <v>#N/A</v>
      </c>
      <c r="BA15" s="54" t="e">
        <f>1/AU21</f>
        <v>#N/A</v>
      </c>
      <c r="BB15" s="54" t="e">
        <f>1/AU22</f>
        <v>#N/A</v>
      </c>
      <c r="BC15" s="54" t="e">
        <f>1/AU23</f>
        <v>#N/A</v>
      </c>
      <c r="BD15" s="54" t="e">
        <f>1/AU24</f>
        <v>#N/A</v>
      </c>
      <c r="BE15" s="54" t="e">
        <f>1/AU25</f>
        <v>#N/A</v>
      </c>
      <c r="BF15" s="54" t="e">
        <f>1/AU26</f>
        <v>#N/A</v>
      </c>
      <c r="BG15" s="54" t="e">
        <f>1/AU27</f>
        <v>#N/A</v>
      </c>
      <c r="BH15" s="54" t="e">
        <f>1/AU28</f>
        <v>#N/A</v>
      </c>
      <c r="BI15" s="54" t="e">
        <f>1/AU29</f>
        <v>#N/A</v>
      </c>
      <c r="BJ15" s="54" t="e">
        <f>1/AU30</f>
        <v>#N/A</v>
      </c>
      <c r="BK15" s="55" t="e">
        <f t="shared" si="1"/>
        <v>#N/A</v>
      </c>
      <c r="BL15" s="42"/>
      <c r="BM15" s="42"/>
      <c r="BN15" s="42"/>
      <c r="BO15" s="42"/>
      <c r="BP15" s="42"/>
      <c r="BQ15" s="42"/>
      <c r="BR15" s="42"/>
      <c r="BS15" s="42"/>
      <c r="BT15" s="42"/>
      <c r="BU15" s="42"/>
      <c r="BV15" s="42"/>
      <c r="BW15" s="42"/>
      <c r="BX15" s="42"/>
      <c r="BY15" s="42"/>
      <c r="BZ15" s="42"/>
      <c r="CA15" s="42"/>
      <c r="CB15" s="42"/>
    </row>
    <row r="16" spans="1:80" s="43" customFormat="1" ht="54" customHeight="1">
      <c r="A16" s="42"/>
      <c r="B16" s="46"/>
      <c r="C16" s="69"/>
      <c r="D16" s="42"/>
      <c r="E16" s="38" t="s">
        <v>438</v>
      </c>
      <c r="F16" s="8"/>
      <c r="G16" s="10"/>
      <c r="H16" s="10"/>
      <c r="I16" s="8"/>
      <c r="J16" s="8"/>
      <c r="K16" s="8"/>
      <c r="L16" s="10"/>
      <c r="M16" s="8"/>
      <c r="N16" s="8"/>
      <c r="O16" s="8"/>
      <c r="P16" s="12"/>
      <c r="Q16" s="12"/>
      <c r="R16" s="12"/>
      <c r="S16" s="12"/>
      <c r="T16" s="12"/>
      <c r="U16" s="12"/>
      <c r="V16" s="12"/>
      <c r="W16" s="12"/>
      <c r="X16" s="12"/>
      <c r="Y16" s="12"/>
      <c r="Z16" s="12"/>
      <c r="AA16" s="12"/>
      <c r="AB16" s="12"/>
      <c r="AC16" s="12"/>
      <c r="AD16" s="12"/>
      <c r="AE16" s="8" t="e">
        <f t="shared" si="0"/>
        <v>#N/A</v>
      </c>
      <c r="AF16" s="52" t="e">
        <f>RANK(AE16,$AE6:$AE30,0)</f>
        <v>#N/A</v>
      </c>
      <c r="AG16" s="47"/>
      <c r="AH16" s="42"/>
      <c r="AI16" s="42"/>
      <c r="AJ16" s="42"/>
      <c r="AK16" s="42"/>
      <c r="AL16" s="56" t="e">
        <f>VLOOKUP(F16, Table283781015[#All], 2, 0)</f>
        <v>#N/A</v>
      </c>
      <c r="AM16" s="56" t="e">
        <f>VLOOKUP(G16, Table283781015[#All], 2, 0)</f>
        <v>#N/A</v>
      </c>
      <c r="AN16" s="56" t="e">
        <f>VLOOKUP(H16, Table283781015[#All], 2, 0)</f>
        <v>#N/A</v>
      </c>
      <c r="AO16" s="56" t="e">
        <f>VLOOKUP(I16, Table283781015[#All], 2, 0)</f>
        <v>#N/A</v>
      </c>
      <c r="AP16" s="56" t="e">
        <f>VLOOKUP(J16, Table283781015[#All], 2, 0)</f>
        <v>#N/A</v>
      </c>
      <c r="AQ16" s="56" t="e">
        <f>VLOOKUP(K16, Table283781015[#All], 2, 0)</f>
        <v>#N/A</v>
      </c>
      <c r="AR16" s="56" t="e">
        <f>VLOOKUP(L16, Table283781015[#All], 2, 0)</f>
        <v>#N/A</v>
      </c>
      <c r="AS16" s="56" t="e">
        <f>VLOOKUP(M16, Table283781015[#All], 2, 0)</f>
        <v>#N/A</v>
      </c>
      <c r="AT16" s="56" t="e">
        <f>VLOOKUP(N16, Table283781015[#All], 2, 0)</f>
        <v>#N/A</v>
      </c>
      <c r="AU16" s="56" t="e">
        <f>VLOOKUP(O16, Table283781015[#All], 2, 0)</f>
        <v>#N/A</v>
      </c>
      <c r="AV16" s="58"/>
      <c r="AW16" s="54" t="e">
        <f>1/AV17</f>
        <v>#N/A</v>
      </c>
      <c r="AX16" s="54" t="e">
        <f>1/AV18</f>
        <v>#N/A</v>
      </c>
      <c r="AY16" s="54" t="e">
        <f>1/AV19</f>
        <v>#N/A</v>
      </c>
      <c r="AZ16" s="54" t="e">
        <f>1/AV20</f>
        <v>#N/A</v>
      </c>
      <c r="BA16" s="54" t="e">
        <f>1/AV21</f>
        <v>#N/A</v>
      </c>
      <c r="BB16" s="54" t="e">
        <f>1/AV22</f>
        <v>#N/A</v>
      </c>
      <c r="BC16" s="54" t="e">
        <f>1/AV23</f>
        <v>#N/A</v>
      </c>
      <c r="BD16" s="54" t="e">
        <f>1/AV24</f>
        <v>#N/A</v>
      </c>
      <c r="BE16" s="54" t="e">
        <f>1/AV25</f>
        <v>#N/A</v>
      </c>
      <c r="BF16" s="54" t="e">
        <f>1/AV26</f>
        <v>#N/A</v>
      </c>
      <c r="BG16" s="54" t="e">
        <f>1/AV27</f>
        <v>#N/A</v>
      </c>
      <c r="BH16" s="54" t="e">
        <f>1/AV28</f>
        <v>#N/A</v>
      </c>
      <c r="BI16" s="54" t="e">
        <f>1/AV29</f>
        <v>#N/A</v>
      </c>
      <c r="BJ16" s="54" t="e">
        <f>1/AV30</f>
        <v>#N/A</v>
      </c>
      <c r="BK16" s="55" t="e">
        <f t="shared" si="1"/>
        <v>#N/A</v>
      </c>
      <c r="BL16" s="42"/>
      <c r="BM16" s="42"/>
      <c r="BN16" s="42"/>
      <c r="BO16" s="42"/>
      <c r="BP16" s="42"/>
      <c r="BQ16" s="42"/>
      <c r="BR16" s="42"/>
      <c r="BS16" s="42"/>
      <c r="BT16" s="42"/>
      <c r="BU16" s="42"/>
      <c r="BV16" s="42"/>
      <c r="BW16" s="42"/>
      <c r="BX16" s="42"/>
      <c r="BY16" s="42"/>
      <c r="BZ16" s="42"/>
      <c r="CA16" s="42"/>
      <c r="CB16" s="42"/>
    </row>
    <row r="17" spans="1:80" s="43" customFormat="1" ht="50.85" customHeight="1">
      <c r="A17" s="42"/>
      <c r="B17" s="46"/>
      <c r="C17" s="69"/>
      <c r="D17" s="42"/>
      <c r="E17" s="38" t="s">
        <v>404</v>
      </c>
      <c r="F17" s="8"/>
      <c r="G17" s="8"/>
      <c r="H17" s="8"/>
      <c r="I17" s="8"/>
      <c r="J17" s="8"/>
      <c r="K17" s="10"/>
      <c r="L17" s="10"/>
      <c r="M17" s="10"/>
      <c r="N17" s="10"/>
      <c r="O17" s="8"/>
      <c r="P17" s="8"/>
      <c r="Q17" s="9"/>
      <c r="R17" s="9"/>
      <c r="S17" s="9"/>
      <c r="T17" s="9"/>
      <c r="U17" s="12"/>
      <c r="V17" s="12"/>
      <c r="W17" s="12"/>
      <c r="X17" s="12"/>
      <c r="Y17" s="12"/>
      <c r="Z17" s="12"/>
      <c r="AA17" s="12"/>
      <c r="AB17" s="12"/>
      <c r="AC17" s="12"/>
      <c r="AD17" s="12"/>
      <c r="AE17" s="8" t="e">
        <f t="shared" si="0"/>
        <v>#N/A</v>
      </c>
      <c r="AF17" s="52" t="e">
        <f>RANK(AE17,$AE6:$AE30,0)</f>
        <v>#N/A</v>
      </c>
      <c r="AG17" s="47"/>
      <c r="AH17" s="42"/>
      <c r="AI17" s="42"/>
      <c r="AJ17" s="42"/>
      <c r="AK17" s="42"/>
      <c r="AL17" s="56" t="e">
        <f>VLOOKUP(F17, Table283781015[#All], 2, 0)</f>
        <v>#N/A</v>
      </c>
      <c r="AM17" s="56" t="e">
        <f>VLOOKUP(G17, Table283781015[#All], 2, 0)</f>
        <v>#N/A</v>
      </c>
      <c r="AN17" s="56" t="e">
        <f>VLOOKUP(H17, Table283781015[#All], 2, 0)</f>
        <v>#N/A</v>
      </c>
      <c r="AO17" s="56" t="e">
        <f>VLOOKUP(I17, Table283781015[#All], 2, 0)</f>
        <v>#N/A</v>
      </c>
      <c r="AP17" s="56" t="e">
        <f>VLOOKUP(J17, Table283781015[#All], 2, 0)</f>
        <v>#N/A</v>
      </c>
      <c r="AQ17" s="56" t="e">
        <f>VLOOKUP(K17, Table283781015[#All], 2, 0)</f>
        <v>#N/A</v>
      </c>
      <c r="AR17" s="56" t="e">
        <f>VLOOKUP(L17, Table283781015[#All], 2, 0)</f>
        <v>#N/A</v>
      </c>
      <c r="AS17" s="56" t="e">
        <f>VLOOKUP(M17, Table283781015[#All], 2, 0)</f>
        <v>#N/A</v>
      </c>
      <c r="AT17" s="56" t="e">
        <f>VLOOKUP(N17, Table283781015[#All], 2, 0)</f>
        <v>#N/A</v>
      </c>
      <c r="AU17" s="56" t="e">
        <f>VLOOKUP(O17, Table283781015[#All], 2, 0)</f>
        <v>#N/A</v>
      </c>
      <c r="AV17" s="56" t="e">
        <f>VLOOKUP(P17, Table283781015[#All], 2, 0)</f>
        <v>#N/A</v>
      </c>
      <c r="AW17" s="58"/>
      <c r="AX17" s="68" t="e">
        <f>1/AW18</f>
        <v>#N/A</v>
      </c>
      <c r="AY17" s="68" t="e">
        <f>1/AW19</f>
        <v>#N/A</v>
      </c>
      <c r="AZ17" s="68" t="e">
        <f>1/AW20</f>
        <v>#N/A</v>
      </c>
      <c r="BA17" s="68" t="e">
        <f>1/AW21</f>
        <v>#N/A</v>
      </c>
      <c r="BB17" s="68" t="e">
        <f>1/AW22</f>
        <v>#N/A</v>
      </c>
      <c r="BC17" s="68" t="e">
        <f>1/AW23</f>
        <v>#N/A</v>
      </c>
      <c r="BD17" s="68" t="e">
        <f>1/AW24</f>
        <v>#N/A</v>
      </c>
      <c r="BE17" s="68" t="e">
        <f>1/AW25</f>
        <v>#N/A</v>
      </c>
      <c r="BF17" s="68" t="e">
        <f>1/AW26</f>
        <v>#N/A</v>
      </c>
      <c r="BG17" s="68" t="e">
        <f>1/AW27</f>
        <v>#N/A</v>
      </c>
      <c r="BH17" s="68" t="e">
        <f>1/AW28</f>
        <v>#N/A</v>
      </c>
      <c r="BI17" s="68" t="e">
        <f>1/AW29</f>
        <v>#N/A</v>
      </c>
      <c r="BJ17" s="68" t="e">
        <f>1/AW30</f>
        <v>#N/A</v>
      </c>
      <c r="BK17" s="55" t="e">
        <f t="shared" si="1"/>
        <v>#N/A</v>
      </c>
      <c r="BL17" s="42"/>
      <c r="BM17" s="42"/>
      <c r="BN17" s="42"/>
      <c r="BO17" s="42"/>
      <c r="BP17" s="42"/>
      <c r="BQ17" s="42"/>
      <c r="BR17" s="42"/>
      <c r="BS17" s="42"/>
      <c r="BT17" s="42"/>
      <c r="BU17" s="42"/>
      <c r="BV17" s="42"/>
      <c r="BW17" s="42"/>
      <c r="BX17" s="42"/>
      <c r="BY17" s="42"/>
      <c r="BZ17" s="42"/>
      <c r="CA17" s="42"/>
      <c r="CB17" s="42"/>
    </row>
    <row r="18" spans="1:80" s="43" customFormat="1" ht="53.45" customHeight="1">
      <c r="A18" s="42"/>
      <c r="B18" s="46"/>
      <c r="C18" s="42"/>
      <c r="D18" s="42"/>
      <c r="E18" s="38" t="s">
        <v>337</v>
      </c>
      <c r="F18" s="26"/>
      <c r="G18" s="26"/>
      <c r="H18" s="26"/>
      <c r="I18" s="26"/>
      <c r="J18" s="26"/>
      <c r="K18" s="26"/>
      <c r="L18" s="26"/>
      <c r="M18" s="26"/>
      <c r="N18" s="26"/>
      <c r="O18" s="26"/>
      <c r="P18" s="26"/>
      <c r="Q18" s="26"/>
      <c r="R18" s="12"/>
      <c r="S18" s="12"/>
      <c r="T18" s="12"/>
      <c r="U18" s="12"/>
      <c r="V18" s="12"/>
      <c r="W18" s="12"/>
      <c r="X18" s="12"/>
      <c r="Y18" s="12"/>
      <c r="Z18" s="12"/>
      <c r="AA18" s="12"/>
      <c r="AB18" s="12"/>
      <c r="AC18" s="12"/>
      <c r="AD18" s="12"/>
      <c r="AE18" s="8" t="e">
        <f t="shared" si="0"/>
        <v>#N/A</v>
      </c>
      <c r="AF18" s="52" t="e">
        <f>RANK(AE18,$AE6:$AE30,0)</f>
        <v>#N/A</v>
      </c>
      <c r="AG18" s="47"/>
      <c r="AH18" s="42"/>
      <c r="AI18" s="42"/>
      <c r="AJ18" s="42"/>
      <c r="AK18" s="42"/>
      <c r="AL18" s="56" t="e">
        <f>VLOOKUP(F18, Table283781015[#All], 2, 0)</f>
        <v>#N/A</v>
      </c>
      <c r="AM18" s="56" t="e">
        <f>VLOOKUP(G18, Table283781015[#All], 2, 0)</f>
        <v>#N/A</v>
      </c>
      <c r="AN18" s="56" t="e">
        <f>VLOOKUP(H18, Table283781015[#All], 2, 0)</f>
        <v>#N/A</v>
      </c>
      <c r="AO18" s="56" t="e">
        <f>VLOOKUP(I18, Table283781015[#All], 2, 0)</f>
        <v>#N/A</v>
      </c>
      <c r="AP18" s="56" t="e">
        <f>VLOOKUP(J18, Table283781015[#All], 2, 0)</f>
        <v>#N/A</v>
      </c>
      <c r="AQ18" s="56" t="e">
        <f>VLOOKUP(K18, Table283781015[#All], 2, 0)</f>
        <v>#N/A</v>
      </c>
      <c r="AR18" s="56" t="e">
        <f>VLOOKUP(L18, Table283781015[#All], 2, 0)</f>
        <v>#N/A</v>
      </c>
      <c r="AS18" s="56" t="e">
        <f>VLOOKUP(M18, Table283781015[#All], 2, 0)</f>
        <v>#N/A</v>
      </c>
      <c r="AT18" s="56" t="e">
        <f>VLOOKUP(N18, Table283781015[#All], 2, 0)</f>
        <v>#N/A</v>
      </c>
      <c r="AU18" s="56" t="e">
        <f>VLOOKUP(O18, Table283781015[#All], 2, 0)</f>
        <v>#N/A</v>
      </c>
      <c r="AV18" s="56" t="e">
        <f>VLOOKUP(P18, Table283781015[#All], 2, 0)</f>
        <v>#N/A</v>
      </c>
      <c r="AW18" s="56" t="e">
        <f>VLOOKUP(Q18, Table283781015[#All], 2, 0)</f>
        <v>#N/A</v>
      </c>
      <c r="AX18" s="58"/>
      <c r="AY18" s="68" t="e">
        <f>1/AX19</f>
        <v>#N/A</v>
      </c>
      <c r="AZ18" s="68" t="e">
        <f>1/AX20</f>
        <v>#N/A</v>
      </c>
      <c r="BA18" s="68" t="e">
        <f>1/AX21</f>
        <v>#N/A</v>
      </c>
      <c r="BB18" s="68" t="e">
        <f>1/AX22</f>
        <v>#N/A</v>
      </c>
      <c r="BC18" s="68" t="e">
        <f>1/AX23</f>
        <v>#N/A</v>
      </c>
      <c r="BD18" s="68" t="e">
        <f>1/AX24</f>
        <v>#N/A</v>
      </c>
      <c r="BE18" s="68" t="e">
        <f>1/AX25</f>
        <v>#N/A</v>
      </c>
      <c r="BF18" s="68" t="e">
        <f>1/AX26</f>
        <v>#N/A</v>
      </c>
      <c r="BG18" s="68" t="e">
        <f>1/AX27</f>
        <v>#N/A</v>
      </c>
      <c r="BH18" s="68" t="e">
        <f>1/AX28</f>
        <v>#N/A</v>
      </c>
      <c r="BI18" s="68" t="e">
        <f>1/AX29</f>
        <v>#N/A</v>
      </c>
      <c r="BJ18" s="68" t="e">
        <f>1/AX30</f>
        <v>#N/A</v>
      </c>
      <c r="BK18" s="55" t="e">
        <f t="shared" si="1"/>
        <v>#N/A</v>
      </c>
      <c r="BL18" s="42"/>
      <c r="BM18" s="42"/>
      <c r="BN18" s="42"/>
      <c r="BO18" s="42"/>
      <c r="BP18" s="42"/>
      <c r="BQ18" s="42"/>
      <c r="BR18" s="42"/>
      <c r="BS18" s="42"/>
      <c r="BT18" s="42"/>
      <c r="BU18" s="42"/>
      <c r="BV18" s="42"/>
      <c r="BW18" s="42"/>
      <c r="BX18" s="42"/>
      <c r="BY18" s="42"/>
      <c r="BZ18" s="42"/>
      <c r="CA18" s="42"/>
      <c r="CB18" s="42"/>
    </row>
    <row r="19" spans="1:80" s="43" customFormat="1" ht="58.35" customHeight="1">
      <c r="A19" s="42"/>
      <c r="B19" s="46"/>
      <c r="C19" s="42"/>
      <c r="D19" s="42"/>
      <c r="E19" s="38" t="s">
        <v>338</v>
      </c>
      <c r="F19" s="26"/>
      <c r="G19" s="26"/>
      <c r="H19" s="26"/>
      <c r="I19" s="26"/>
      <c r="J19" s="26"/>
      <c r="K19" s="26"/>
      <c r="L19" s="26"/>
      <c r="M19" s="26"/>
      <c r="N19" s="26"/>
      <c r="O19" s="26"/>
      <c r="P19" s="26"/>
      <c r="Q19" s="26"/>
      <c r="R19" s="26"/>
      <c r="S19" s="12"/>
      <c r="T19" s="12"/>
      <c r="U19" s="12"/>
      <c r="V19" s="12"/>
      <c r="W19" s="12"/>
      <c r="X19" s="12"/>
      <c r="Y19" s="12"/>
      <c r="Z19" s="12"/>
      <c r="AA19" s="12"/>
      <c r="AB19" s="12"/>
      <c r="AC19" s="12"/>
      <c r="AD19" s="12"/>
      <c r="AE19" s="8" t="e">
        <f t="shared" si="0"/>
        <v>#N/A</v>
      </c>
      <c r="AF19" s="52" t="e">
        <f>RANK(AE19,$AE6:$AE30,0)</f>
        <v>#N/A</v>
      </c>
      <c r="AG19" s="47"/>
      <c r="AH19" s="42"/>
      <c r="AI19" s="42"/>
      <c r="AJ19" s="42"/>
      <c r="AK19" s="42"/>
      <c r="AL19" s="56" t="e">
        <f>VLOOKUP(F19, Table283781015[#All], 2, 0)</f>
        <v>#N/A</v>
      </c>
      <c r="AM19" s="56" t="e">
        <f>VLOOKUP(G19, Table283781015[#All], 2, 0)</f>
        <v>#N/A</v>
      </c>
      <c r="AN19" s="56" t="e">
        <f>VLOOKUP(H19, Table283781015[#All], 2, 0)</f>
        <v>#N/A</v>
      </c>
      <c r="AO19" s="56" t="e">
        <f>VLOOKUP(I19, Table283781015[#All], 2, 0)</f>
        <v>#N/A</v>
      </c>
      <c r="AP19" s="56" t="e">
        <f>VLOOKUP(J19, Table283781015[#All], 2, 0)</f>
        <v>#N/A</v>
      </c>
      <c r="AQ19" s="56" t="e">
        <f>VLOOKUP(K19, Table283781015[#All], 2, 0)</f>
        <v>#N/A</v>
      </c>
      <c r="AR19" s="56" t="e">
        <f>VLOOKUP(L19, Table283781015[#All], 2, 0)</f>
        <v>#N/A</v>
      </c>
      <c r="AS19" s="56" t="e">
        <f>VLOOKUP(M19, Table283781015[#All], 2, 0)</f>
        <v>#N/A</v>
      </c>
      <c r="AT19" s="56" t="e">
        <f>VLOOKUP(N19, Table283781015[#All], 2, 0)</f>
        <v>#N/A</v>
      </c>
      <c r="AU19" s="56" t="e">
        <f>VLOOKUP(O19, Table283781015[#All], 2, 0)</f>
        <v>#N/A</v>
      </c>
      <c r="AV19" s="56" t="e">
        <f>VLOOKUP(P19, Table283781015[#All], 2, 0)</f>
        <v>#N/A</v>
      </c>
      <c r="AW19" s="56" t="e">
        <f>VLOOKUP(Q19, Table283781015[#All], 2, 0)</f>
        <v>#N/A</v>
      </c>
      <c r="AX19" s="56" t="e">
        <f>VLOOKUP(R19, Table283781015[#All], 2, 0)</f>
        <v>#N/A</v>
      </c>
      <c r="AY19" s="58"/>
      <c r="AZ19" s="68" t="e">
        <f>1/AY20</f>
        <v>#N/A</v>
      </c>
      <c r="BA19" s="68" t="e">
        <f>1/AY21</f>
        <v>#N/A</v>
      </c>
      <c r="BB19" s="68" t="e">
        <f>1/AY22</f>
        <v>#N/A</v>
      </c>
      <c r="BC19" s="68" t="e">
        <f>1/AY23</f>
        <v>#N/A</v>
      </c>
      <c r="BD19" s="68" t="e">
        <f>1/AY24</f>
        <v>#N/A</v>
      </c>
      <c r="BE19" s="68" t="e">
        <f>1/AY25</f>
        <v>#N/A</v>
      </c>
      <c r="BF19" s="68" t="e">
        <f>1/AY26</f>
        <v>#N/A</v>
      </c>
      <c r="BG19" s="68" t="e">
        <f>1/AY27</f>
        <v>#N/A</v>
      </c>
      <c r="BH19" s="68" t="e">
        <f>1/AY28</f>
        <v>#N/A</v>
      </c>
      <c r="BI19" s="68" t="e">
        <f>1/AY29</f>
        <v>#N/A</v>
      </c>
      <c r="BJ19" s="68" t="e">
        <f>1/AY30</f>
        <v>#N/A</v>
      </c>
      <c r="BK19" s="55" t="e">
        <f t="shared" si="1"/>
        <v>#N/A</v>
      </c>
      <c r="BL19" s="42"/>
      <c r="BM19" s="42"/>
      <c r="BN19" s="42"/>
      <c r="BO19" s="42"/>
      <c r="BP19" s="42"/>
      <c r="BQ19" s="42"/>
      <c r="BR19" s="42"/>
      <c r="BS19" s="42"/>
      <c r="BT19" s="42"/>
      <c r="BU19" s="42"/>
      <c r="BV19" s="42"/>
      <c r="BW19" s="42"/>
      <c r="BX19" s="42"/>
      <c r="BY19" s="42"/>
      <c r="BZ19" s="42"/>
      <c r="CA19" s="42"/>
      <c r="CB19" s="42"/>
    </row>
    <row r="20" spans="1:80" s="43" customFormat="1" ht="51.4" customHeight="1">
      <c r="A20" s="42"/>
      <c r="B20" s="46"/>
      <c r="C20" s="42"/>
      <c r="D20" s="42"/>
      <c r="E20" s="38" t="s">
        <v>339</v>
      </c>
      <c r="F20" s="26"/>
      <c r="G20" s="26"/>
      <c r="H20" s="26"/>
      <c r="I20" s="26"/>
      <c r="J20" s="26"/>
      <c r="K20" s="26"/>
      <c r="L20" s="26"/>
      <c r="M20" s="26"/>
      <c r="N20" s="26"/>
      <c r="O20" s="26"/>
      <c r="P20" s="26"/>
      <c r="Q20" s="26"/>
      <c r="R20" s="26"/>
      <c r="S20" s="26"/>
      <c r="T20" s="12"/>
      <c r="U20" s="12"/>
      <c r="V20" s="12"/>
      <c r="W20" s="12"/>
      <c r="X20" s="12"/>
      <c r="Y20" s="12"/>
      <c r="Z20" s="12"/>
      <c r="AA20" s="12"/>
      <c r="AB20" s="12"/>
      <c r="AC20" s="12"/>
      <c r="AD20" s="12"/>
      <c r="AE20" s="8" t="e">
        <f t="shared" si="0"/>
        <v>#N/A</v>
      </c>
      <c r="AF20" s="52" t="e">
        <f>RANK(AE20,$AE6:$AE30,0)</f>
        <v>#N/A</v>
      </c>
      <c r="AG20" s="47"/>
      <c r="AH20" s="42"/>
      <c r="AI20" s="42"/>
      <c r="AJ20" s="42"/>
      <c r="AK20" s="42"/>
      <c r="AL20" s="56" t="e">
        <f>VLOOKUP(F20, Table283781015[#All], 2, 0)</f>
        <v>#N/A</v>
      </c>
      <c r="AM20" s="56" t="e">
        <f>VLOOKUP(G20, Table283781015[#All], 2, 0)</f>
        <v>#N/A</v>
      </c>
      <c r="AN20" s="56" t="e">
        <f>VLOOKUP(H20, Table283781015[#All], 2, 0)</f>
        <v>#N/A</v>
      </c>
      <c r="AO20" s="56" t="e">
        <f>VLOOKUP(I20, Table283781015[#All], 2, 0)</f>
        <v>#N/A</v>
      </c>
      <c r="AP20" s="56" t="e">
        <f>VLOOKUP(J20, Table283781015[#All], 2, 0)</f>
        <v>#N/A</v>
      </c>
      <c r="AQ20" s="56" t="e">
        <f>VLOOKUP(K20, Table283781015[#All], 2, 0)</f>
        <v>#N/A</v>
      </c>
      <c r="AR20" s="56" t="e">
        <f>VLOOKUP(L20, Table283781015[#All], 2, 0)</f>
        <v>#N/A</v>
      </c>
      <c r="AS20" s="56" t="e">
        <f>VLOOKUP(M20, Table283781015[#All], 2, 0)</f>
        <v>#N/A</v>
      </c>
      <c r="AT20" s="56" t="e">
        <f>VLOOKUP(N20, Table283781015[#All], 2, 0)</f>
        <v>#N/A</v>
      </c>
      <c r="AU20" s="56" t="e">
        <f>VLOOKUP(O20, Table283781015[#All], 2, 0)</f>
        <v>#N/A</v>
      </c>
      <c r="AV20" s="56" t="e">
        <f>VLOOKUP(P20, Table283781015[#All], 2, 0)</f>
        <v>#N/A</v>
      </c>
      <c r="AW20" s="56" t="e">
        <f>VLOOKUP(Q20, Table283781015[#All], 2, 0)</f>
        <v>#N/A</v>
      </c>
      <c r="AX20" s="56" t="e">
        <f>VLOOKUP(R20, Table283781015[#All], 2, 0)</f>
        <v>#N/A</v>
      </c>
      <c r="AY20" s="56" t="e">
        <f>VLOOKUP(S20, Table283781015[#All], 2, 0)</f>
        <v>#N/A</v>
      </c>
      <c r="AZ20" s="58"/>
      <c r="BA20" s="68" t="e">
        <f>1/AZ21</f>
        <v>#N/A</v>
      </c>
      <c r="BB20" s="68" t="e">
        <f>1/AZ22</f>
        <v>#N/A</v>
      </c>
      <c r="BC20" s="68" t="e">
        <f>1/AZ23</f>
        <v>#N/A</v>
      </c>
      <c r="BD20" s="68" t="e">
        <f>1/AZ24</f>
        <v>#N/A</v>
      </c>
      <c r="BE20" s="68" t="e">
        <f>1/AZ25</f>
        <v>#N/A</v>
      </c>
      <c r="BF20" s="68" t="e">
        <f>1/AZ26</f>
        <v>#N/A</v>
      </c>
      <c r="BG20" s="68" t="e">
        <f>1/AZ27</f>
        <v>#N/A</v>
      </c>
      <c r="BH20" s="68" t="e">
        <f>1/AZ28</f>
        <v>#N/A</v>
      </c>
      <c r="BI20" s="68" t="e">
        <f>1/AZ29</f>
        <v>#N/A</v>
      </c>
      <c r="BJ20" s="68" t="e">
        <f>1/AZ30</f>
        <v>#N/A</v>
      </c>
      <c r="BK20" s="55" t="e">
        <f t="shared" si="1"/>
        <v>#N/A</v>
      </c>
      <c r="BL20" s="42"/>
      <c r="BM20" s="42"/>
      <c r="BN20" s="42"/>
      <c r="BO20" s="42"/>
      <c r="BP20" s="42"/>
      <c r="BQ20" s="42"/>
      <c r="BR20" s="42"/>
      <c r="BS20" s="42"/>
      <c r="BT20" s="42"/>
      <c r="BU20" s="42"/>
      <c r="BV20" s="42"/>
      <c r="BW20" s="42"/>
      <c r="BX20" s="42"/>
      <c r="BY20" s="42"/>
      <c r="BZ20" s="42"/>
      <c r="CA20" s="42"/>
      <c r="CB20" s="42"/>
    </row>
    <row r="21" spans="1:80" s="43" customFormat="1" ht="52.9" customHeight="1">
      <c r="A21" s="42"/>
      <c r="B21" s="46"/>
      <c r="C21" s="42"/>
      <c r="D21" s="42"/>
      <c r="E21" s="38" t="s">
        <v>340</v>
      </c>
      <c r="F21" s="26"/>
      <c r="G21" s="26"/>
      <c r="H21" s="26"/>
      <c r="I21" s="26"/>
      <c r="J21" s="26"/>
      <c r="K21" s="26"/>
      <c r="L21" s="26"/>
      <c r="M21" s="26"/>
      <c r="N21" s="26"/>
      <c r="O21" s="26"/>
      <c r="P21" s="26"/>
      <c r="Q21" s="26"/>
      <c r="R21" s="26"/>
      <c r="S21" s="26"/>
      <c r="T21" s="26"/>
      <c r="U21" s="12"/>
      <c r="V21" s="12"/>
      <c r="W21" s="12"/>
      <c r="X21" s="12"/>
      <c r="Y21" s="12"/>
      <c r="Z21" s="12"/>
      <c r="AA21" s="12"/>
      <c r="AB21" s="12"/>
      <c r="AC21" s="12"/>
      <c r="AD21" s="12"/>
      <c r="AE21" s="8" t="e">
        <f t="shared" si="0"/>
        <v>#N/A</v>
      </c>
      <c r="AF21" s="52" t="e">
        <f>RANK(AE21,$AE6:$AE30,0)</f>
        <v>#N/A</v>
      </c>
      <c r="AG21" s="47"/>
      <c r="AH21" s="42"/>
      <c r="AI21" s="42"/>
      <c r="AJ21" s="42"/>
      <c r="AK21" s="42"/>
      <c r="AL21" s="56" t="e">
        <f>VLOOKUP(F21, Table283781015[#All], 2, 0)</f>
        <v>#N/A</v>
      </c>
      <c r="AM21" s="56" t="e">
        <f>VLOOKUP(G21, Table283781015[#All], 2, 0)</f>
        <v>#N/A</v>
      </c>
      <c r="AN21" s="56" t="e">
        <f>VLOOKUP(H21, Table283781015[#All], 2, 0)</f>
        <v>#N/A</v>
      </c>
      <c r="AO21" s="56" t="e">
        <f>VLOOKUP(I21, Table283781015[#All], 2, 0)</f>
        <v>#N/A</v>
      </c>
      <c r="AP21" s="56" t="e">
        <f>VLOOKUP(J21, Table283781015[#All], 2, 0)</f>
        <v>#N/A</v>
      </c>
      <c r="AQ21" s="56" t="e">
        <f>VLOOKUP(K21, Table283781015[#All], 2, 0)</f>
        <v>#N/A</v>
      </c>
      <c r="AR21" s="56" t="e">
        <f>VLOOKUP(L21, Table283781015[#All], 2, 0)</f>
        <v>#N/A</v>
      </c>
      <c r="AS21" s="56" t="e">
        <f>VLOOKUP(M21, Table283781015[#All], 2, 0)</f>
        <v>#N/A</v>
      </c>
      <c r="AT21" s="56" t="e">
        <f>VLOOKUP(N21, Table283781015[#All], 2, 0)</f>
        <v>#N/A</v>
      </c>
      <c r="AU21" s="56" t="e">
        <f>VLOOKUP(O21, Table283781015[#All], 2, 0)</f>
        <v>#N/A</v>
      </c>
      <c r="AV21" s="56" t="e">
        <f>VLOOKUP(P21, Table283781015[#All], 2, 0)</f>
        <v>#N/A</v>
      </c>
      <c r="AW21" s="56" t="e">
        <f>VLOOKUP(Q21, Table283781015[#All], 2, 0)</f>
        <v>#N/A</v>
      </c>
      <c r="AX21" s="56" t="e">
        <f>VLOOKUP(R21, Table283781015[#All], 2, 0)</f>
        <v>#N/A</v>
      </c>
      <c r="AY21" s="56" t="e">
        <f>VLOOKUP(S21, Table283781015[#All], 2, 0)</f>
        <v>#N/A</v>
      </c>
      <c r="AZ21" s="56" t="e">
        <f>VLOOKUP(T21, Table283781015[#All], 2, 0)</f>
        <v>#N/A</v>
      </c>
      <c r="BA21" s="58"/>
      <c r="BB21" s="68" t="e">
        <f>1/BA22</f>
        <v>#N/A</v>
      </c>
      <c r="BC21" s="68" t="e">
        <f>1/BA23</f>
        <v>#N/A</v>
      </c>
      <c r="BD21" s="68" t="e">
        <f>1/BA24</f>
        <v>#N/A</v>
      </c>
      <c r="BE21" s="68" t="e">
        <f>1/BA25</f>
        <v>#N/A</v>
      </c>
      <c r="BF21" s="68" t="e">
        <f>1/BA26</f>
        <v>#N/A</v>
      </c>
      <c r="BG21" s="68" t="e">
        <f>1/BA27</f>
        <v>#N/A</v>
      </c>
      <c r="BH21" s="68" t="e">
        <f>1/BA28</f>
        <v>#N/A</v>
      </c>
      <c r="BI21" s="68" t="e">
        <f>1/BA29</f>
        <v>#N/A</v>
      </c>
      <c r="BJ21" s="68" t="e">
        <f>1/BA30</f>
        <v>#N/A</v>
      </c>
      <c r="BK21" s="55" t="e">
        <f t="shared" si="1"/>
        <v>#N/A</v>
      </c>
      <c r="BL21" s="42"/>
      <c r="BM21" s="42"/>
      <c r="BN21" s="42"/>
      <c r="BO21" s="42"/>
      <c r="BP21" s="42"/>
      <c r="BQ21" s="42"/>
      <c r="BR21" s="42"/>
      <c r="BS21" s="42"/>
      <c r="BT21" s="42"/>
      <c r="BU21" s="42"/>
      <c r="BV21" s="42"/>
      <c r="BW21" s="42"/>
      <c r="BX21" s="42"/>
      <c r="BY21" s="42"/>
      <c r="BZ21" s="42"/>
      <c r="CA21" s="42"/>
      <c r="CB21" s="42"/>
    </row>
    <row r="22" spans="1:80" s="43" customFormat="1" ht="53.85" customHeight="1">
      <c r="A22" s="42"/>
      <c r="B22" s="46"/>
      <c r="C22" s="42"/>
      <c r="D22" s="42"/>
      <c r="E22" s="38" t="s">
        <v>341</v>
      </c>
      <c r="F22" s="26"/>
      <c r="G22" s="26"/>
      <c r="H22" s="26"/>
      <c r="I22" s="26"/>
      <c r="J22" s="26"/>
      <c r="K22" s="26"/>
      <c r="L22" s="26"/>
      <c r="M22" s="26"/>
      <c r="N22" s="26"/>
      <c r="O22" s="26"/>
      <c r="P22" s="26"/>
      <c r="Q22" s="26"/>
      <c r="R22" s="26"/>
      <c r="S22" s="26"/>
      <c r="T22" s="26"/>
      <c r="U22" s="26"/>
      <c r="V22" s="12"/>
      <c r="W22" s="12"/>
      <c r="X22" s="12"/>
      <c r="Y22" s="12"/>
      <c r="Z22" s="12"/>
      <c r="AA22" s="12"/>
      <c r="AB22" s="12"/>
      <c r="AC22" s="12"/>
      <c r="AD22" s="12"/>
      <c r="AE22" s="8" t="e">
        <f t="shared" si="0"/>
        <v>#N/A</v>
      </c>
      <c r="AF22" s="52" t="e">
        <f>RANK(AE22,$AE6:$AE30,0)</f>
        <v>#N/A</v>
      </c>
      <c r="AG22" s="47"/>
      <c r="AH22" s="42"/>
      <c r="AI22" s="42"/>
      <c r="AJ22" s="42"/>
      <c r="AK22" s="42"/>
      <c r="AL22" s="56" t="e">
        <f>VLOOKUP(F22, Table283781015[#All], 2, 0)</f>
        <v>#N/A</v>
      </c>
      <c r="AM22" s="56" t="e">
        <f>VLOOKUP(G22, Table283781015[#All], 2, 0)</f>
        <v>#N/A</v>
      </c>
      <c r="AN22" s="56" t="e">
        <f>VLOOKUP(H22, Table283781015[#All], 2, 0)</f>
        <v>#N/A</v>
      </c>
      <c r="AO22" s="56" t="e">
        <f>VLOOKUP(I22, Table283781015[#All], 2, 0)</f>
        <v>#N/A</v>
      </c>
      <c r="AP22" s="56" t="e">
        <f>VLOOKUP(J22, Table283781015[#All], 2, 0)</f>
        <v>#N/A</v>
      </c>
      <c r="AQ22" s="56" t="e">
        <f>VLOOKUP(K22, Table283781015[#All], 2, 0)</f>
        <v>#N/A</v>
      </c>
      <c r="AR22" s="56" t="e">
        <f>VLOOKUP(L22, Table283781015[#All], 2, 0)</f>
        <v>#N/A</v>
      </c>
      <c r="AS22" s="56" t="e">
        <f>VLOOKUP(M22, Table283781015[#All], 2, 0)</f>
        <v>#N/A</v>
      </c>
      <c r="AT22" s="56" t="e">
        <f>VLOOKUP(N22, Table283781015[#All], 2, 0)</f>
        <v>#N/A</v>
      </c>
      <c r="AU22" s="56" t="e">
        <f>VLOOKUP(O22, Table283781015[#All], 2, 0)</f>
        <v>#N/A</v>
      </c>
      <c r="AV22" s="56" t="e">
        <f>VLOOKUP(P22, Table283781015[#All], 2, 0)</f>
        <v>#N/A</v>
      </c>
      <c r="AW22" s="56" t="e">
        <f>VLOOKUP(Q22, Table283781015[#All], 2, 0)</f>
        <v>#N/A</v>
      </c>
      <c r="AX22" s="56" t="e">
        <f>VLOOKUP(R22, Table283781015[#All], 2, 0)</f>
        <v>#N/A</v>
      </c>
      <c r="AY22" s="56" t="e">
        <f>VLOOKUP(S22, Table283781015[#All], 2, 0)</f>
        <v>#N/A</v>
      </c>
      <c r="AZ22" s="56" t="e">
        <f>VLOOKUP(T22, Table283781015[#All], 2, 0)</f>
        <v>#N/A</v>
      </c>
      <c r="BA22" s="56" t="e">
        <f>VLOOKUP(U22, Table283781015[#All], 2, 0)</f>
        <v>#N/A</v>
      </c>
      <c r="BB22" s="58"/>
      <c r="BC22" s="68" t="e">
        <f>1/BB23</f>
        <v>#N/A</v>
      </c>
      <c r="BD22" s="68" t="e">
        <f>1/BB24</f>
        <v>#N/A</v>
      </c>
      <c r="BE22" s="68" t="e">
        <f>1/BB25</f>
        <v>#N/A</v>
      </c>
      <c r="BF22" s="68" t="e">
        <f>1/BB26</f>
        <v>#N/A</v>
      </c>
      <c r="BG22" s="68" t="e">
        <f>1/BB27</f>
        <v>#N/A</v>
      </c>
      <c r="BH22" s="68" t="e">
        <f>1/BB28</f>
        <v>#N/A</v>
      </c>
      <c r="BI22" s="68" t="e">
        <f>1/BB29</f>
        <v>#N/A</v>
      </c>
      <c r="BJ22" s="68" t="e">
        <f>1/BB30</f>
        <v>#N/A</v>
      </c>
      <c r="BK22" s="55" t="e">
        <f t="shared" si="1"/>
        <v>#N/A</v>
      </c>
      <c r="BL22" s="42"/>
      <c r="BM22" s="42"/>
      <c r="BN22" s="42"/>
      <c r="BO22" s="42"/>
      <c r="BP22" s="42"/>
      <c r="BQ22" s="42"/>
      <c r="BR22" s="42"/>
      <c r="BS22" s="42"/>
      <c r="BT22" s="42"/>
      <c r="BU22" s="42"/>
      <c r="BV22" s="42"/>
      <c r="BW22" s="42"/>
      <c r="BX22" s="42"/>
      <c r="BY22" s="42"/>
      <c r="BZ22" s="42"/>
      <c r="CA22" s="42"/>
      <c r="CB22" s="42"/>
    </row>
    <row r="23" spans="1:80" s="43" customFormat="1" ht="52.9" customHeight="1">
      <c r="A23" s="42"/>
      <c r="B23" s="46"/>
      <c r="C23" s="42"/>
      <c r="D23" s="42"/>
      <c r="E23" s="38" t="s">
        <v>342</v>
      </c>
      <c r="F23" s="26"/>
      <c r="G23" s="26"/>
      <c r="H23" s="26"/>
      <c r="I23" s="26"/>
      <c r="J23" s="26"/>
      <c r="K23" s="26"/>
      <c r="L23" s="26"/>
      <c r="M23" s="26"/>
      <c r="N23" s="26"/>
      <c r="O23" s="26"/>
      <c r="P23" s="26"/>
      <c r="Q23" s="26"/>
      <c r="R23" s="26"/>
      <c r="S23" s="26"/>
      <c r="T23" s="26"/>
      <c r="U23" s="26"/>
      <c r="V23" s="26"/>
      <c r="W23" s="12"/>
      <c r="X23" s="12"/>
      <c r="Y23" s="12"/>
      <c r="Z23" s="12"/>
      <c r="AA23" s="12"/>
      <c r="AB23" s="12"/>
      <c r="AC23" s="12"/>
      <c r="AD23" s="12"/>
      <c r="AE23" s="8" t="e">
        <f t="shared" si="0"/>
        <v>#N/A</v>
      </c>
      <c r="AF23" s="52" t="e">
        <f>RANK(AE23,$AE6:$AE30,0)</f>
        <v>#N/A</v>
      </c>
      <c r="AG23" s="47"/>
      <c r="AH23" s="42"/>
      <c r="AI23" s="42"/>
      <c r="AJ23" s="42"/>
      <c r="AK23" s="42"/>
      <c r="AL23" s="56" t="e">
        <f>VLOOKUP(F23, Table283781015[#All], 2, 0)</f>
        <v>#N/A</v>
      </c>
      <c r="AM23" s="56" t="e">
        <f>VLOOKUP(G23, Table283781015[#All], 2, 0)</f>
        <v>#N/A</v>
      </c>
      <c r="AN23" s="56" t="e">
        <f>VLOOKUP(H23, Table283781015[#All], 2, 0)</f>
        <v>#N/A</v>
      </c>
      <c r="AO23" s="56" t="e">
        <f>VLOOKUP(I23, Table283781015[#All], 2, 0)</f>
        <v>#N/A</v>
      </c>
      <c r="AP23" s="56" t="e">
        <f>VLOOKUP(J23, Table283781015[#All], 2, 0)</f>
        <v>#N/A</v>
      </c>
      <c r="AQ23" s="56" t="e">
        <f>VLOOKUP(K23, Table283781015[#All], 2, 0)</f>
        <v>#N/A</v>
      </c>
      <c r="AR23" s="56" t="e">
        <f>VLOOKUP(L23, Table283781015[#All], 2, 0)</f>
        <v>#N/A</v>
      </c>
      <c r="AS23" s="56" t="e">
        <f>VLOOKUP(M23, Table283781015[#All], 2, 0)</f>
        <v>#N/A</v>
      </c>
      <c r="AT23" s="56" t="e">
        <f>VLOOKUP(N23, Table283781015[#All], 2, 0)</f>
        <v>#N/A</v>
      </c>
      <c r="AU23" s="56" t="e">
        <f>VLOOKUP(O23, Table283781015[#All], 2, 0)</f>
        <v>#N/A</v>
      </c>
      <c r="AV23" s="56" t="e">
        <f>VLOOKUP(P23, Table283781015[#All], 2, 0)</f>
        <v>#N/A</v>
      </c>
      <c r="AW23" s="56" t="e">
        <f>VLOOKUP(Q23, Table283781015[#All], 2, 0)</f>
        <v>#N/A</v>
      </c>
      <c r="AX23" s="56" t="e">
        <f>VLOOKUP(R23, Table283781015[#All], 2, 0)</f>
        <v>#N/A</v>
      </c>
      <c r="AY23" s="56" t="e">
        <f>VLOOKUP(S23, Table283781015[#All], 2, 0)</f>
        <v>#N/A</v>
      </c>
      <c r="AZ23" s="56" t="e">
        <f>VLOOKUP(T23, Table283781015[#All], 2, 0)</f>
        <v>#N/A</v>
      </c>
      <c r="BA23" s="56" t="e">
        <f>VLOOKUP(U23, Table283781015[#All], 2, 0)</f>
        <v>#N/A</v>
      </c>
      <c r="BB23" s="56" t="e">
        <f>VLOOKUP(V23, Table283781015[#All], 2, 0)</f>
        <v>#N/A</v>
      </c>
      <c r="BC23" s="58"/>
      <c r="BD23" s="68" t="e">
        <f>1/BC24</f>
        <v>#N/A</v>
      </c>
      <c r="BE23" s="68" t="e">
        <f>1/BC25</f>
        <v>#N/A</v>
      </c>
      <c r="BF23" s="68" t="e">
        <f>1/BC26</f>
        <v>#N/A</v>
      </c>
      <c r="BG23" s="68" t="e">
        <f>1/BC27</f>
        <v>#N/A</v>
      </c>
      <c r="BH23" s="68" t="e">
        <f>1/BC28</f>
        <v>#N/A</v>
      </c>
      <c r="BI23" s="68" t="e">
        <f>1/BC29</f>
        <v>#N/A</v>
      </c>
      <c r="BJ23" s="68" t="e">
        <f>1/BC30</f>
        <v>#N/A</v>
      </c>
      <c r="BK23" s="55" t="e">
        <f t="shared" si="1"/>
        <v>#N/A</v>
      </c>
      <c r="BL23" s="42"/>
      <c r="BM23" s="42"/>
      <c r="BN23" s="42"/>
      <c r="BO23" s="42"/>
      <c r="BP23" s="42"/>
      <c r="BQ23" s="42"/>
      <c r="BR23" s="42"/>
      <c r="BS23" s="42"/>
      <c r="BT23" s="42"/>
      <c r="BU23" s="42"/>
      <c r="BV23" s="42"/>
      <c r="BW23" s="42"/>
      <c r="BX23" s="42"/>
      <c r="BY23" s="42"/>
      <c r="BZ23" s="42"/>
      <c r="CA23" s="42"/>
      <c r="CB23" s="42"/>
    </row>
    <row r="24" spans="1:80" s="43" customFormat="1" ht="52.5" customHeight="1">
      <c r="A24" s="42"/>
      <c r="B24" s="46"/>
      <c r="C24" s="42"/>
      <c r="D24" s="42"/>
      <c r="E24" s="38" t="s">
        <v>343</v>
      </c>
      <c r="F24" s="26"/>
      <c r="G24" s="26"/>
      <c r="H24" s="26"/>
      <c r="I24" s="26"/>
      <c r="J24" s="26"/>
      <c r="K24" s="26"/>
      <c r="L24" s="26"/>
      <c r="M24" s="26"/>
      <c r="N24" s="26"/>
      <c r="O24" s="26"/>
      <c r="P24" s="26"/>
      <c r="Q24" s="26"/>
      <c r="R24" s="26"/>
      <c r="S24" s="26"/>
      <c r="T24" s="26"/>
      <c r="U24" s="26"/>
      <c r="V24" s="26"/>
      <c r="W24" s="26"/>
      <c r="X24" s="12"/>
      <c r="Y24" s="12"/>
      <c r="Z24" s="12"/>
      <c r="AA24" s="12"/>
      <c r="AB24" s="12"/>
      <c r="AC24" s="12"/>
      <c r="AD24" s="12"/>
      <c r="AE24" s="8" t="e">
        <f t="shared" si="0"/>
        <v>#N/A</v>
      </c>
      <c r="AF24" s="52" t="e">
        <f>RANK(AE24,$AE6:$AE30,0)</f>
        <v>#N/A</v>
      </c>
      <c r="AG24" s="47"/>
      <c r="AH24" s="42"/>
      <c r="AI24" s="42"/>
      <c r="AJ24" s="42"/>
      <c r="AK24" s="42"/>
      <c r="AL24" s="56" t="e">
        <f>VLOOKUP(F24, Table283781015[#All], 2, 0)</f>
        <v>#N/A</v>
      </c>
      <c r="AM24" s="56" t="e">
        <f>VLOOKUP(G24, Table283781015[#All], 2, 0)</f>
        <v>#N/A</v>
      </c>
      <c r="AN24" s="56" t="e">
        <f>VLOOKUP(H24, Table283781015[#All], 2, 0)</f>
        <v>#N/A</v>
      </c>
      <c r="AO24" s="56" t="e">
        <f>VLOOKUP(I24, Table283781015[#All], 2, 0)</f>
        <v>#N/A</v>
      </c>
      <c r="AP24" s="56" t="e">
        <f>VLOOKUP(J24, Table283781015[#All], 2, 0)</f>
        <v>#N/A</v>
      </c>
      <c r="AQ24" s="56" t="e">
        <f>VLOOKUP(K24, Table283781015[#All], 2, 0)</f>
        <v>#N/A</v>
      </c>
      <c r="AR24" s="56" t="e">
        <f>VLOOKUP(L24, Table283781015[#All], 2, 0)</f>
        <v>#N/A</v>
      </c>
      <c r="AS24" s="56" t="e">
        <f>VLOOKUP(M24, Table283781015[#All], 2, 0)</f>
        <v>#N/A</v>
      </c>
      <c r="AT24" s="56" t="e">
        <f>VLOOKUP(N24, Table283781015[#All], 2, 0)</f>
        <v>#N/A</v>
      </c>
      <c r="AU24" s="56" t="e">
        <f>VLOOKUP(O24, Table283781015[#All], 2, 0)</f>
        <v>#N/A</v>
      </c>
      <c r="AV24" s="56" t="e">
        <f>VLOOKUP(P24, Table283781015[#All], 2, 0)</f>
        <v>#N/A</v>
      </c>
      <c r="AW24" s="56" t="e">
        <f>VLOOKUP(Q24, Table283781015[#All], 2, 0)</f>
        <v>#N/A</v>
      </c>
      <c r="AX24" s="56" t="e">
        <f>VLOOKUP(R24, Table283781015[#All], 2, 0)</f>
        <v>#N/A</v>
      </c>
      <c r="AY24" s="56" t="e">
        <f>VLOOKUP(S24, Table283781015[#All], 2, 0)</f>
        <v>#N/A</v>
      </c>
      <c r="AZ24" s="56" t="e">
        <f>VLOOKUP(T24, Table283781015[#All], 2, 0)</f>
        <v>#N/A</v>
      </c>
      <c r="BA24" s="56" t="e">
        <f>VLOOKUP(U24, Table283781015[#All], 2, 0)</f>
        <v>#N/A</v>
      </c>
      <c r="BB24" s="56" t="e">
        <f>VLOOKUP(V24, Table283781015[#All], 2, 0)</f>
        <v>#N/A</v>
      </c>
      <c r="BC24" s="56" t="e">
        <f>VLOOKUP(W24, Table283781015[#All], 2, 0)</f>
        <v>#N/A</v>
      </c>
      <c r="BD24" s="58"/>
      <c r="BE24" s="68" t="e">
        <f>1/BD25</f>
        <v>#N/A</v>
      </c>
      <c r="BF24" s="68" t="e">
        <f>1/BD26</f>
        <v>#N/A</v>
      </c>
      <c r="BG24" s="68" t="e">
        <f>1/BD27</f>
        <v>#N/A</v>
      </c>
      <c r="BH24" s="68" t="e">
        <f>1/BD28</f>
        <v>#N/A</v>
      </c>
      <c r="BI24" s="68" t="e">
        <f>1/BD29</f>
        <v>#N/A</v>
      </c>
      <c r="BJ24" s="68" t="e">
        <f>1/BD30</f>
        <v>#N/A</v>
      </c>
      <c r="BK24" s="55" t="e">
        <f t="shared" si="1"/>
        <v>#N/A</v>
      </c>
      <c r="BL24" s="42"/>
      <c r="BM24" s="42"/>
      <c r="BN24" s="42"/>
      <c r="BO24" s="42"/>
      <c r="BP24" s="42"/>
      <c r="BQ24" s="42"/>
      <c r="BR24" s="42"/>
      <c r="BS24" s="42"/>
      <c r="BT24" s="42"/>
      <c r="BU24" s="42"/>
      <c r="BV24" s="42"/>
      <c r="BW24" s="42"/>
      <c r="BX24" s="42"/>
      <c r="BY24" s="42"/>
      <c r="BZ24" s="42"/>
      <c r="CA24" s="42"/>
      <c r="CB24" s="42"/>
    </row>
    <row r="25" spans="1:80" s="43" customFormat="1" ht="39.950000000000003" customHeight="1">
      <c r="A25" s="42"/>
      <c r="B25" s="46"/>
      <c r="C25" s="42"/>
      <c r="D25" s="42"/>
      <c r="E25" s="38" t="s">
        <v>344</v>
      </c>
      <c r="F25" s="26"/>
      <c r="G25" s="26"/>
      <c r="H25" s="26"/>
      <c r="I25" s="26"/>
      <c r="J25" s="26"/>
      <c r="K25" s="26"/>
      <c r="L25" s="26"/>
      <c r="M25" s="26"/>
      <c r="N25" s="26"/>
      <c r="O25" s="26"/>
      <c r="P25" s="26"/>
      <c r="Q25" s="26"/>
      <c r="R25" s="26"/>
      <c r="S25" s="26"/>
      <c r="T25" s="26"/>
      <c r="U25" s="26"/>
      <c r="V25" s="26"/>
      <c r="W25" s="26"/>
      <c r="X25" s="26"/>
      <c r="Y25" s="12"/>
      <c r="Z25" s="12"/>
      <c r="AA25" s="12"/>
      <c r="AB25" s="12"/>
      <c r="AC25" s="12"/>
      <c r="AD25" s="12"/>
      <c r="AE25" s="8" t="e">
        <f t="shared" si="0"/>
        <v>#N/A</v>
      </c>
      <c r="AF25" s="52" t="e">
        <f>RANK(AE25,$AE6:$AE30,0)</f>
        <v>#N/A</v>
      </c>
      <c r="AG25" s="47"/>
      <c r="AH25" s="42"/>
      <c r="AI25" s="42"/>
      <c r="AJ25" s="42"/>
      <c r="AK25" s="42"/>
      <c r="AL25" s="56" t="e">
        <f>VLOOKUP(F25, Table283781015[#All], 2, 0)</f>
        <v>#N/A</v>
      </c>
      <c r="AM25" s="56" t="e">
        <f>VLOOKUP(G25, Table283781015[#All], 2, 0)</f>
        <v>#N/A</v>
      </c>
      <c r="AN25" s="56" t="e">
        <f>VLOOKUP(H25, Table283781015[#All], 2, 0)</f>
        <v>#N/A</v>
      </c>
      <c r="AO25" s="56" t="e">
        <f>VLOOKUP(I25, Table283781015[#All], 2, 0)</f>
        <v>#N/A</v>
      </c>
      <c r="AP25" s="56" t="e">
        <f>VLOOKUP(J25, Table283781015[#All], 2, 0)</f>
        <v>#N/A</v>
      </c>
      <c r="AQ25" s="56" t="e">
        <f>VLOOKUP(K25, Table283781015[#All], 2, 0)</f>
        <v>#N/A</v>
      </c>
      <c r="AR25" s="56" t="e">
        <f>VLOOKUP(L25, Table283781015[#All], 2, 0)</f>
        <v>#N/A</v>
      </c>
      <c r="AS25" s="56" t="e">
        <f>VLOOKUP(M25, Table283781015[#All], 2, 0)</f>
        <v>#N/A</v>
      </c>
      <c r="AT25" s="56" t="e">
        <f>VLOOKUP(N25, Table283781015[#All], 2, 0)</f>
        <v>#N/A</v>
      </c>
      <c r="AU25" s="56" t="e">
        <f>VLOOKUP(O25, Table283781015[#All], 2, 0)</f>
        <v>#N/A</v>
      </c>
      <c r="AV25" s="56" t="e">
        <f>VLOOKUP(P25, Table283781015[#All], 2, 0)</f>
        <v>#N/A</v>
      </c>
      <c r="AW25" s="56" t="e">
        <f>VLOOKUP(Q25, Table283781015[#All], 2, 0)</f>
        <v>#N/A</v>
      </c>
      <c r="AX25" s="56" t="e">
        <f>VLOOKUP(R25, Table283781015[#All], 2, 0)</f>
        <v>#N/A</v>
      </c>
      <c r="AY25" s="56" t="e">
        <f>VLOOKUP(S25, Table283781015[#All], 2, 0)</f>
        <v>#N/A</v>
      </c>
      <c r="AZ25" s="56" t="e">
        <f>VLOOKUP(T25, Table283781015[#All], 2, 0)</f>
        <v>#N/A</v>
      </c>
      <c r="BA25" s="56" t="e">
        <f>VLOOKUP(U25, Table283781015[#All], 2, 0)</f>
        <v>#N/A</v>
      </c>
      <c r="BB25" s="56" t="e">
        <f>VLOOKUP(V25, Table283781015[#All], 2, 0)</f>
        <v>#N/A</v>
      </c>
      <c r="BC25" s="56" t="e">
        <f>VLOOKUP(W25, Table283781015[#All], 2, 0)</f>
        <v>#N/A</v>
      </c>
      <c r="BD25" s="56" t="e">
        <f>VLOOKUP(X25, Table283781015[#All], 2, 0)</f>
        <v>#N/A</v>
      </c>
      <c r="BE25" s="58"/>
      <c r="BF25" s="68" t="e">
        <f>1/BE26</f>
        <v>#N/A</v>
      </c>
      <c r="BG25" s="68" t="e">
        <f>1/BE27</f>
        <v>#N/A</v>
      </c>
      <c r="BH25" s="68" t="e">
        <f>1/BE28</f>
        <v>#N/A</v>
      </c>
      <c r="BI25" s="68" t="e">
        <f>1/BE29</f>
        <v>#N/A</v>
      </c>
      <c r="BJ25" s="68" t="e">
        <f>1/BE30</f>
        <v>#N/A</v>
      </c>
      <c r="BK25" s="55" t="e">
        <f t="shared" si="1"/>
        <v>#N/A</v>
      </c>
      <c r="BL25" s="42"/>
      <c r="BM25" s="42"/>
      <c r="BN25" s="42"/>
      <c r="BO25" s="42"/>
      <c r="BP25" s="42"/>
      <c r="BQ25" s="42"/>
      <c r="BR25" s="42"/>
      <c r="BS25" s="42"/>
      <c r="BT25" s="42"/>
      <c r="BU25" s="42"/>
      <c r="BV25" s="42"/>
      <c r="BW25" s="42"/>
      <c r="BX25" s="42"/>
      <c r="BY25" s="42"/>
      <c r="BZ25" s="42"/>
      <c r="CA25" s="42"/>
      <c r="CB25" s="42"/>
    </row>
    <row r="26" spans="1:80" s="43" customFormat="1" ht="48.4" customHeight="1">
      <c r="A26" s="42"/>
      <c r="B26" s="46"/>
      <c r="C26" s="42"/>
      <c r="D26" s="42"/>
      <c r="E26" s="38" t="s">
        <v>345</v>
      </c>
      <c r="F26" s="26"/>
      <c r="G26" s="26"/>
      <c r="H26" s="26"/>
      <c r="I26" s="26"/>
      <c r="J26" s="26"/>
      <c r="K26" s="26"/>
      <c r="L26" s="26"/>
      <c r="M26" s="26"/>
      <c r="N26" s="26"/>
      <c r="O26" s="26"/>
      <c r="P26" s="26"/>
      <c r="Q26" s="26"/>
      <c r="R26" s="26"/>
      <c r="S26" s="26"/>
      <c r="T26" s="26"/>
      <c r="U26" s="26"/>
      <c r="V26" s="26"/>
      <c r="W26" s="26"/>
      <c r="X26" s="26"/>
      <c r="Y26" s="26"/>
      <c r="Z26" s="12"/>
      <c r="AA26" s="12"/>
      <c r="AB26" s="12"/>
      <c r="AC26" s="12"/>
      <c r="AD26" s="12"/>
      <c r="AE26" s="8" t="e">
        <f t="shared" si="0"/>
        <v>#N/A</v>
      </c>
      <c r="AF26" s="52" t="e">
        <f>RANK(AE26,$AE6:$AE30,0)</f>
        <v>#N/A</v>
      </c>
      <c r="AG26" s="47"/>
      <c r="AH26" s="42"/>
      <c r="AI26" s="42"/>
      <c r="AJ26" s="42"/>
      <c r="AK26" s="42"/>
      <c r="AL26" s="56" t="e">
        <f>VLOOKUP(F26, Table283781015[#All], 2, 0)</f>
        <v>#N/A</v>
      </c>
      <c r="AM26" s="56" t="e">
        <f>VLOOKUP(G26, Table283781015[#All], 2, 0)</f>
        <v>#N/A</v>
      </c>
      <c r="AN26" s="56" t="e">
        <f>VLOOKUP(H26, Table283781015[#All], 2, 0)</f>
        <v>#N/A</v>
      </c>
      <c r="AO26" s="56" t="e">
        <f>VLOOKUP(I26, Table283781015[#All], 2, 0)</f>
        <v>#N/A</v>
      </c>
      <c r="AP26" s="56" t="e">
        <f>VLOOKUP(J26, Table283781015[#All], 2, 0)</f>
        <v>#N/A</v>
      </c>
      <c r="AQ26" s="56" t="e">
        <f>VLOOKUP(K26, Table283781015[#All], 2, 0)</f>
        <v>#N/A</v>
      </c>
      <c r="AR26" s="56" t="e">
        <f>VLOOKUP(L26, Table283781015[#All], 2, 0)</f>
        <v>#N/A</v>
      </c>
      <c r="AS26" s="56" t="e">
        <f>VLOOKUP(M26, Table283781015[#All], 2, 0)</f>
        <v>#N/A</v>
      </c>
      <c r="AT26" s="56" t="e">
        <f>VLOOKUP(N26, Table283781015[#All], 2, 0)</f>
        <v>#N/A</v>
      </c>
      <c r="AU26" s="56" t="e">
        <f>VLOOKUP(O26, Table283781015[#All], 2, 0)</f>
        <v>#N/A</v>
      </c>
      <c r="AV26" s="56" t="e">
        <f>VLOOKUP(P26, Table283781015[#All], 2, 0)</f>
        <v>#N/A</v>
      </c>
      <c r="AW26" s="56" t="e">
        <f>VLOOKUP(Q26, Table283781015[#All], 2, 0)</f>
        <v>#N/A</v>
      </c>
      <c r="AX26" s="56" t="e">
        <f>VLOOKUP(R26, Table283781015[#All], 2, 0)</f>
        <v>#N/A</v>
      </c>
      <c r="AY26" s="56" t="e">
        <f>VLOOKUP(S26, Table283781015[#All], 2, 0)</f>
        <v>#N/A</v>
      </c>
      <c r="AZ26" s="56" t="e">
        <f>VLOOKUP(T26, Table283781015[#All], 2, 0)</f>
        <v>#N/A</v>
      </c>
      <c r="BA26" s="56" t="e">
        <f>VLOOKUP(U26, Table283781015[#All], 2, 0)</f>
        <v>#N/A</v>
      </c>
      <c r="BB26" s="56" t="e">
        <f>VLOOKUP(V26, Table283781015[#All], 2, 0)</f>
        <v>#N/A</v>
      </c>
      <c r="BC26" s="56" t="e">
        <f>VLOOKUP(W26, Table283781015[#All], 2, 0)</f>
        <v>#N/A</v>
      </c>
      <c r="BD26" s="56" t="e">
        <f>VLOOKUP(X26, Table283781015[#All], 2, 0)</f>
        <v>#N/A</v>
      </c>
      <c r="BE26" s="56" t="e">
        <f>VLOOKUP(Y26, Table283781015[#All], 2, 0)</f>
        <v>#N/A</v>
      </c>
      <c r="BF26" s="58"/>
      <c r="BG26" s="68" t="e">
        <f>1/BF27</f>
        <v>#N/A</v>
      </c>
      <c r="BH26" s="68" t="e">
        <f>1/BF28</f>
        <v>#N/A</v>
      </c>
      <c r="BI26" s="68" t="e">
        <f>1/BF29</f>
        <v>#N/A</v>
      </c>
      <c r="BJ26" s="68" t="e">
        <f>1/BF30</f>
        <v>#N/A</v>
      </c>
      <c r="BK26" s="55" t="e">
        <f t="shared" si="1"/>
        <v>#N/A</v>
      </c>
      <c r="BL26" s="42"/>
      <c r="BM26" s="42"/>
      <c r="BN26" s="42"/>
      <c r="BO26" s="42"/>
      <c r="BP26" s="42"/>
      <c r="BQ26" s="42"/>
      <c r="BR26" s="42"/>
      <c r="BS26" s="42"/>
      <c r="BT26" s="42"/>
      <c r="BU26" s="42"/>
      <c r="BV26" s="42"/>
      <c r="BW26" s="42"/>
      <c r="BX26" s="42"/>
      <c r="BY26" s="42"/>
      <c r="BZ26" s="42"/>
      <c r="CA26" s="42"/>
      <c r="CB26" s="42"/>
    </row>
    <row r="27" spans="1:80" s="43" customFormat="1" ht="50.45" customHeight="1">
      <c r="A27" s="42"/>
      <c r="B27" s="46"/>
      <c r="C27" s="42"/>
      <c r="D27" s="42"/>
      <c r="E27" s="38" t="s">
        <v>346</v>
      </c>
      <c r="F27" s="26"/>
      <c r="G27" s="26"/>
      <c r="H27" s="26"/>
      <c r="I27" s="26"/>
      <c r="J27" s="26"/>
      <c r="K27" s="26"/>
      <c r="L27" s="26"/>
      <c r="M27" s="26"/>
      <c r="N27" s="26"/>
      <c r="O27" s="26"/>
      <c r="P27" s="26"/>
      <c r="Q27" s="26"/>
      <c r="R27" s="26"/>
      <c r="S27" s="26"/>
      <c r="T27" s="26"/>
      <c r="U27" s="26"/>
      <c r="V27" s="26"/>
      <c r="W27" s="26"/>
      <c r="X27" s="26"/>
      <c r="Y27" s="26"/>
      <c r="Z27" s="26"/>
      <c r="AA27" s="12"/>
      <c r="AB27" s="12"/>
      <c r="AC27" s="12"/>
      <c r="AD27" s="12"/>
      <c r="AE27" s="8" t="e">
        <f t="shared" si="0"/>
        <v>#N/A</v>
      </c>
      <c r="AF27" s="52" t="e">
        <f>RANK(AE27,$AE6:$AE30,0)</f>
        <v>#N/A</v>
      </c>
      <c r="AG27" s="47"/>
      <c r="AH27" s="42"/>
      <c r="AI27" s="42"/>
      <c r="AJ27" s="42"/>
      <c r="AK27" s="42"/>
      <c r="AL27" s="56" t="e">
        <f>VLOOKUP(F27, Table283781015[#All], 2, 0)</f>
        <v>#N/A</v>
      </c>
      <c r="AM27" s="56" t="e">
        <f>VLOOKUP(G27, Table283781015[#All], 2, 0)</f>
        <v>#N/A</v>
      </c>
      <c r="AN27" s="56" t="e">
        <f>VLOOKUP(H27, Table283781015[#All], 2, 0)</f>
        <v>#N/A</v>
      </c>
      <c r="AO27" s="56" t="e">
        <f>VLOOKUP(I27, Table283781015[#All], 2, 0)</f>
        <v>#N/A</v>
      </c>
      <c r="AP27" s="56" t="e">
        <f>VLOOKUP(J27, Table283781015[#All], 2, 0)</f>
        <v>#N/A</v>
      </c>
      <c r="AQ27" s="56" t="e">
        <f>VLOOKUP(K27, Table283781015[#All], 2, 0)</f>
        <v>#N/A</v>
      </c>
      <c r="AR27" s="56" t="e">
        <f>VLOOKUP(L27, Table283781015[#All], 2, 0)</f>
        <v>#N/A</v>
      </c>
      <c r="AS27" s="56" t="e">
        <f>VLOOKUP(M27, Table283781015[#All], 2, 0)</f>
        <v>#N/A</v>
      </c>
      <c r="AT27" s="56" t="e">
        <f>VLOOKUP(N27, Table283781015[#All], 2, 0)</f>
        <v>#N/A</v>
      </c>
      <c r="AU27" s="56" t="e">
        <f>VLOOKUP(O27, Table283781015[#All], 2, 0)</f>
        <v>#N/A</v>
      </c>
      <c r="AV27" s="56" t="e">
        <f>VLOOKUP(P27, Table283781015[#All], 2, 0)</f>
        <v>#N/A</v>
      </c>
      <c r="AW27" s="56" t="e">
        <f>VLOOKUP(Q27, Table283781015[#All], 2, 0)</f>
        <v>#N/A</v>
      </c>
      <c r="AX27" s="56" t="e">
        <f>VLOOKUP(R27, Table283781015[#All], 2, 0)</f>
        <v>#N/A</v>
      </c>
      <c r="AY27" s="56" t="e">
        <f>VLOOKUP(S27, Table283781015[#All], 2, 0)</f>
        <v>#N/A</v>
      </c>
      <c r="AZ27" s="56" t="e">
        <f>VLOOKUP(T27, Table283781015[#All], 2, 0)</f>
        <v>#N/A</v>
      </c>
      <c r="BA27" s="56" t="e">
        <f>VLOOKUP(U27, Table283781015[#All], 2, 0)</f>
        <v>#N/A</v>
      </c>
      <c r="BB27" s="56" t="e">
        <f>VLOOKUP(V27, Table283781015[#All], 2, 0)</f>
        <v>#N/A</v>
      </c>
      <c r="BC27" s="56" t="e">
        <f>VLOOKUP(W27, Table283781015[#All], 2, 0)</f>
        <v>#N/A</v>
      </c>
      <c r="BD27" s="56" t="e">
        <f>VLOOKUP(X27, Table283781015[#All], 2, 0)</f>
        <v>#N/A</v>
      </c>
      <c r="BE27" s="56" t="e">
        <f>VLOOKUP(Y27, Table283781015[#All], 2, 0)</f>
        <v>#N/A</v>
      </c>
      <c r="BF27" s="56" t="e">
        <f>VLOOKUP(Z27, Table283781015[#All], 2, 0)</f>
        <v>#N/A</v>
      </c>
      <c r="BG27" s="58"/>
      <c r="BH27" s="68" t="e">
        <f>1/BG28</f>
        <v>#N/A</v>
      </c>
      <c r="BI27" s="68" t="e">
        <f>1/BG29</f>
        <v>#N/A</v>
      </c>
      <c r="BJ27" s="68" t="e">
        <f>1/BG30</f>
        <v>#N/A</v>
      </c>
      <c r="BK27" s="55" t="e">
        <f t="shared" si="1"/>
        <v>#N/A</v>
      </c>
      <c r="BL27" s="42"/>
      <c r="BM27" s="42"/>
      <c r="BN27" s="42"/>
      <c r="BO27" s="42"/>
      <c r="BP27" s="42"/>
      <c r="BQ27" s="42"/>
      <c r="BR27" s="42"/>
      <c r="BS27" s="42"/>
      <c r="BT27" s="42"/>
      <c r="BU27" s="42"/>
      <c r="BV27" s="42"/>
      <c r="BW27" s="42"/>
      <c r="BX27" s="42"/>
      <c r="BY27" s="42"/>
      <c r="BZ27" s="42"/>
      <c r="CA27" s="42"/>
      <c r="CB27" s="42"/>
    </row>
    <row r="28" spans="1:80" s="43" customFormat="1" ht="50.45" customHeight="1">
      <c r="A28" s="42"/>
      <c r="B28" s="46"/>
      <c r="C28" s="42"/>
      <c r="D28" s="42"/>
      <c r="E28" s="38" t="s">
        <v>347</v>
      </c>
      <c r="F28" s="26"/>
      <c r="G28" s="26"/>
      <c r="H28" s="26"/>
      <c r="I28" s="26"/>
      <c r="J28" s="26"/>
      <c r="K28" s="26"/>
      <c r="L28" s="26"/>
      <c r="M28" s="26"/>
      <c r="N28" s="26"/>
      <c r="O28" s="26"/>
      <c r="P28" s="26"/>
      <c r="Q28" s="26"/>
      <c r="R28" s="26"/>
      <c r="S28" s="26"/>
      <c r="T28" s="26"/>
      <c r="U28" s="26"/>
      <c r="V28" s="26"/>
      <c r="W28" s="26"/>
      <c r="X28" s="26"/>
      <c r="Y28" s="26"/>
      <c r="Z28" s="26"/>
      <c r="AA28" s="26"/>
      <c r="AB28" s="12"/>
      <c r="AC28" s="12"/>
      <c r="AD28" s="12"/>
      <c r="AE28" s="8" t="e">
        <f t="shared" si="0"/>
        <v>#N/A</v>
      </c>
      <c r="AF28" s="52" t="e">
        <f>RANK(AE28,$AE6:$AE30,0)</f>
        <v>#N/A</v>
      </c>
      <c r="AG28" s="47"/>
      <c r="AH28" s="42"/>
      <c r="AI28" s="42"/>
      <c r="AJ28" s="42"/>
      <c r="AK28" s="42"/>
      <c r="AL28" s="56" t="e">
        <f>VLOOKUP(F28, Table283781015[#All], 2, 0)</f>
        <v>#N/A</v>
      </c>
      <c r="AM28" s="56" t="e">
        <f>VLOOKUP(G28, Table283781015[#All], 2, 0)</f>
        <v>#N/A</v>
      </c>
      <c r="AN28" s="56" t="e">
        <f>VLOOKUP(H28, Table283781015[#All], 2, 0)</f>
        <v>#N/A</v>
      </c>
      <c r="AO28" s="56" t="e">
        <f>VLOOKUP(I28, Table283781015[#All], 2, 0)</f>
        <v>#N/A</v>
      </c>
      <c r="AP28" s="56" t="e">
        <f>VLOOKUP(J28, Table283781015[#All], 2, 0)</f>
        <v>#N/A</v>
      </c>
      <c r="AQ28" s="56" t="e">
        <f>VLOOKUP(K28, Table283781015[#All], 2, 0)</f>
        <v>#N/A</v>
      </c>
      <c r="AR28" s="56" t="e">
        <f>VLOOKUP(L28, Table283781015[#All], 2, 0)</f>
        <v>#N/A</v>
      </c>
      <c r="AS28" s="56" t="e">
        <f>VLOOKUP(M28, Table283781015[#All], 2, 0)</f>
        <v>#N/A</v>
      </c>
      <c r="AT28" s="56" t="e">
        <f>VLOOKUP(N28, Table283781015[#All], 2, 0)</f>
        <v>#N/A</v>
      </c>
      <c r="AU28" s="56" t="e">
        <f>VLOOKUP(O28, Table283781015[#All], 2, 0)</f>
        <v>#N/A</v>
      </c>
      <c r="AV28" s="56" t="e">
        <f>VLOOKUP(P28, Table283781015[#All], 2, 0)</f>
        <v>#N/A</v>
      </c>
      <c r="AW28" s="56" t="e">
        <f>VLOOKUP(Q28, Table283781015[#All], 2, 0)</f>
        <v>#N/A</v>
      </c>
      <c r="AX28" s="56" t="e">
        <f>VLOOKUP(R28, Table283781015[#All], 2, 0)</f>
        <v>#N/A</v>
      </c>
      <c r="AY28" s="56" t="e">
        <f>VLOOKUP(S28, Table283781015[#All], 2, 0)</f>
        <v>#N/A</v>
      </c>
      <c r="AZ28" s="56" t="e">
        <f>VLOOKUP(T28, Table283781015[#All], 2, 0)</f>
        <v>#N/A</v>
      </c>
      <c r="BA28" s="56" t="e">
        <f>VLOOKUP(U28, Table283781015[#All], 2, 0)</f>
        <v>#N/A</v>
      </c>
      <c r="BB28" s="56" t="e">
        <f>VLOOKUP(V28, Table283781015[#All], 2, 0)</f>
        <v>#N/A</v>
      </c>
      <c r="BC28" s="56" t="e">
        <f>VLOOKUP(W28, Table283781015[#All], 2, 0)</f>
        <v>#N/A</v>
      </c>
      <c r="BD28" s="56" t="e">
        <f>VLOOKUP(X28, Table283781015[#All], 2, 0)</f>
        <v>#N/A</v>
      </c>
      <c r="BE28" s="56" t="e">
        <f>VLOOKUP(Y28, Table283781015[#All], 2, 0)</f>
        <v>#N/A</v>
      </c>
      <c r="BF28" s="56" t="e">
        <f>VLOOKUP(Z28, Table283781015[#All], 2, 0)</f>
        <v>#N/A</v>
      </c>
      <c r="BG28" s="56" t="e">
        <f>VLOOKUP(AA28, Table283781015[#All], 2, 0)</f>
        <v>#N/A</v>
      </c>
      <c r="BH28" s="58"/>
      <c r="BI28" s="68" t="e">
        <f>1/BH29</f>
        <v>#N/A</v>
      </c>
      <c r="BJ28" s="68" t="e">
        <f>1/BH30</f>
        <v>#N/A</v>
      </c>
      <c r="BK28" s="55" t="e">
        <f t="shared" si="1"/>
        <v>#N/A</v>
      </c>
      <c r="BL28" s="42"/>
      <c r="BM28" s="42"/>
      <c r="BN28" s="42"/>
      <c r="BO28" s="42"/>
      <c r="BP28" s="42"/>
      <c r="BQ28" s="42"/>
      <c r="BR28" s="42"/>
      <c r="BS28" s="42"/>
      <c r="BT28" s="42"/>
      <c r="BU28" s="42"/>
      <c r="BV28" s="42"/>
      <c r="BW28" s="42"/>
      <c r="BX28" s="42"/>
      <c r="BY28" s="42"/>
      <c r="BZ28" s="42"/>
      <c r="CA28" s="42"/>
      <c r="CB28" s="42"/>
    </row>
    <row r="29" spans="1:80" s="43" customFormat="1" ht="50.85" customHeight="1">
      <c r="A29" s="42"/>
      <c r="B29" s="46"/>
      <c r="C29" s="42"/>
      <c r="D29" s="42"/>
      <c r="E29" s="38" t="s">
        <v>348</v>
      </c>
      <c r="F29" s="26"/>
      <c r="G29" s="26"/>
      <c r="H29" s="26"/>
      <c r="I29" s="26"/>
      <c r="J29" s="26"/>
      <c r="K29" s="26"/>
      <c r="L29" s="26"/>
      <c r="M29" s="26"/>
      <c r="N29" s="26"/>
      <c r="O29" s="26"/>
      <c r="P29" s="26"/>
      <c r="Q29" s="26"/>
      <c r="R29" s="26"/>
      <c r="S29" s="26"/>
      <c r="T29" s="26"/>
      <c r="U29" s="26"/>
      <c r="V29" s="26"/>
      <c r="W29" s="26"/>
      <c r="X29" s="26"/>
      <c r="Y29" s="26"/>
      <c r="Z29" s="26"/>
      <c r="AA29" s="26"/>
      <c r="AB29" s="26"/>
      <c r="AC29" s="12"/>
      <c r="AD29" s="12"/>
      <c r="AE29" s="8" t="e">
        <f t="shared" si="0"/>
        <v>#N/A</v>
      </c>
      <c r="AF29" s="52" t="e">
        <f>RANK(AE29,$AE6:$AE30,0)</f>
        <v>#N/A</v>
      </c>
      <c r="AG29" s="47"/>
      <c r="AH29" s="42"/>
      <c r="AI29" s="42"/>
      <c r="AJ29" s="42"/>
      <c r="AK29" s="42"/>
      <c r="AL29" s="56" t="e">
        <f>VLOOKUP(F29, Table283781015[#All], 2, 0)</f>
        <v>#N/A</v>
      </c>
      <c r="AM29" s="56" t="e">
        <f>VLOOKUP(G29, Table283781015[#All], 2, 0)</f>
        <v>#N/A</v>
      </c>
      <c r="AN29" s="56" t="e">
        <f>VLOOKUP(H29, Table283781015[#All], 2, 0)</f>
        <v>#N/A</v>
      </c>
      <c r="AO29" s="56" t="e">
        <f>VLOOKUP(I29, Table283781015[#All], 2, 0)</f>
        <v>#N/A</v>
      </c>
      <c r="AP29" s="56" t="e">
        <f>VLOOKUP(J29, Table283781015[#All], 2, 0)</f>
        <v>#N/A</v>
      </c>
      <c r="AQ29" s="56" t="e">
        <f>VLOOKUP(K29, Table283781015[#All], 2, 0)</f>
        <v>#N/A</v>
      </c>
      <c r="AR29" s="56" t="e">
        <f>VLOOKUP(L29, Table283781015[#All], 2, 0)</f>
        <v>#N/A</v>
      </c>
      <c r="AS29" s="56" t="e">
        <f>VLOOKUP(M29, Table283781015[#All], 2, 0)</f>
        <v>#N/A</v>
      </c>
      <c r="AT29" s="56" t="e">
        <f>VLOOKUP(N29, Table283781015[#All], 2, 0)</f>
        <v>#N/A</v>
      </c>
      <c r="AU29" s="56" t="e">
        <f>VLOOKUP(O29, Table283781015[#All], 2, 0)</f>
        <v>#N/A</v>
      </c>
      <c r="AV29" s="56" t="e">
        <f>VLOOKUP(P29, Table283781015[#All], 2, 0)</f>
        <v>#N/A</v>
      </c>
      <c r="AW29" s="56" t="e">
        <f>VLOOKUP(Q29, Table283781015[#All], 2, 0)</f>
        <v>#N/A</v>
      </c>
      <c r="AX29" s="56" t="e">
        <f>VLOOKUP(R29, Table283781015[#All], 2, 0)</f>
        <v>#N/A</v>
      </c>
      <c r="AY29" s="56" t="e">
        <f>VLOOKUP(S29, Table283781015[#All], 2, 0)</f>
        <v>#N/A</v>
      </c>
      <c r="AZ29" s="56" t="e">
        <f>VLOOKUP(T29, Table283781015[#All], 2, 0)</f>
        <v>#N/A</v>
      </c>
      <c r="BA29" s="56" t="e">
        <f>VLOOKUP(U29, Table283781015[#All], 2, 0)</f>
        <v>#N/A</v>
      </c>
      <c r="BB29" s="56" t="e">
        <f>VLOOKUP(V29, Table283781015[#All], 2, 0)</f>
        <v>#N/A</v>
      </c>
      <c r="BC29" s="56" t="e">
        <f>VLOOKUP(W29, Table283781015[#All], 2, 0)</f>
        <v>#N/A</v>
      </c>
      <c r="BD29" s="56" t="e">
        <f>VLOOKUP(X29, Table283781015[#All], 2, 0)</f>
        <v>#N/A</v>
      </c>
      <c r="BE29" s="56" t="e">
        <f>VLOOKUP(Y29, Table283781015[#All], 2, 0)</f>
        <v>#N/A</v>
      </c>
      <c r="BF29" s="56" t="e">
        <f>VLOOKUP(Z29, Table283781015[#All], 2, 0)</f>
        <v>#N/A</v>
      </c>
      <c r="BG29" s="56" t="e">
        <f>VLOOKUP(AA29, Table283781015[#All], 2, 0)</f>
        <v>#N/A</v>
      </c>
      <c r="BH29" s="56" t="e">
        <f>VLOOKUP(AB29, Table283781015[#All], 2, 0)</f>
        <v>#N/A</v>
      </c>
      <c r="BI29" s="58"/>
      <c r="BJ29" s="68" t="e">
        <f>1/BI30</f>
        <v>#N/A</v>
      </c>
      <c r="BK29" s="55" t="e">
        <f t="shared" si="1"/>
        <v>#N/A</v>
      </c>
      <c r="BL29" s="42"/>
      <c r="BM29" s="42"/>
      <c r="BN29" s="42"/>
      <c r="BO29" s="42"/>
      <c r="BP29" s="42"/>
      <c r="BQ29" s="42"/>
      <c r="BR29" s="42"/>
      <c r="BS29" s="42"/>
      <c r="BT29" s="42"/>
      <c r="BU29" s="42"/>
      <c r="BV29" s="42"/>
      <c r="BW29" s="42"/>
      <c r="BX29" s="42"/>
      <c r="BY29" s="42"/>
      <c r="BZ29" s="42"/>
      <c r="CA29" s="42"/>
      <c r="CB29" s="42"/>
    </row>
    <row r="30" spans="1:80" s="43" customFormat="1" ht="55.5" customHeight="1" thickBot="1">
      <c r="A30" s="42"/>
      <c r="B30" s="46"/>
      <c r="C30" s="42"/>
      <c r="D30" s="42"/>
      <c r="E30" s="39" t="s">
        <v>349</v>
      </c>
      <c r="F30" s="27"/>
      <c r="G30" s="27"/>
      <c r="H30" s="27"/>
      <c r="I30" s="27"/>
      <c r="J30" s="27"/>
      <c r="K30" s="27"/>
      <c r="L30" s="27"/>
      <c r="M30" s="27"/>
      <c r="N30" s="27"/>
      <c r="O30" s="27"/>
      <c r="P30" s="27"/>
      <c r="Q30" s="27"/>
      <c r="R30" s="27"/>
      <c r="S30" s="27"/>
      <c r="T30" s="27"/>
      <c r="U30" s="27"/>
      <c r="V30" s="27"/>
      <c r="W30" s="27"/>
      <c r="X30" s="27"/>
      <c r="Y30" s="27"/>
      <c r="Z30" s="27"/>
      <c r="AA30" s="27"/>
      <c r="AB30" s="27"/>
      <c r="AC30" s="27"/>
      <c r="AD30" s="6"/>
      <c r="AE30" s="13" t="e">
        <f t="shared" si="0"/>
        <v>#N/A</v>
      </c>
      <c r="AF30" s="57" t="e">
        <f>RANK(AE30,$AE6:$AE30,0)</f>
        <v>#N/A</v>
      </c>
      <c r="AG30" s="47"/>
      <c r="AH30" s="42"/>
      <c r="AI30" s="42"/>
      <c r="AJ30" s="42"/>
      <c r="AK30" s="42"/>
      <c r="AL30" s="56" t="e">
        <f>VLOOKUP(F30, Table283781015[#All], 2, 0)</f>
        <v>#N/A</v>
      </c>
      <c r="AM30" s="56" t="e">
        <f>VLOOKUP(G30, Table283781015[#All], 2, 0)</f>
        <v>#N/A</v>
      </c>
      <c r="AN30" s="56" t="e">
        <f>VLOOKUP(H30, Table283781015[#All], 2, 0)</f>
        <v>#N/A</v>
      </c>
      <c r="AO30" s="56" t="e">
        <f>VLOOKUP(I30, Table283781015[#All], 2, 0)</f>
        <v>#N/A</v>
      </c>
      <c r="AP30" s="56" t="e">
        <f>VLOOKUP(J30, Table283781015[#All], 2, 0)</f>
        <v>#N/A</v>
      </c>
      <c r="AQ30" s="56" t="e">
        <f>VLOOKUP(K30, Table283781015[#All], 2, 0)</f>
        <v>#N/A</v>
      </c>
      <c r="AR30" s="56" t="e">
        <f>VLOOKUP(L30, Table283781015[#All], 2, 0)</f>
        <v>#N/A</v>
      </c>
      <c r="AS30" s="56" t="e">
        <f>VLOOKUP(M30, Table283781015[#All], 2, 0)</f>
        <v>#N/A</v>
      </c>
      <c r="AT30" s="56" t="e">
        <f>VLOOKUP(N30, Table283781015[#All], 2, 0)</f>
        <v>#N/A</v>
      </c>
      <c r="AU30" s="56" t="e">
        <f>VLOOKUP(O30, Table283781015[#All], 2, 0)</f>
        <v>#N/A</v>
      </c>
      <c r="AV30" s="56" t="e">
        <f>VLOOKUP(P30, Table283781015[#All], 2, 0)</f>
        <v>#N/A</v>
      </c>
      <c r="AW30" s="56" t="e">
        <f>VLOOKUP(Q30, Table283781015[#All], 2, 0)</f>
        <v>#N/A</v>
      </c>
      <c r="AX30" s="56" t="e">
        <f>VLOOKUP(R30, Table283781015[#All], 2, 0)</f>
        <v>#N/A</v>
      </c>
      <c r="AY30" s="56" t="e">
        <f>VLOOKUP(S30, Table283781015[#All], 2, 0)</f>
        <v>#N/A</v>
      </c>
      <c r="AZ30" s="56" t="e">
        <f>VLOOKUP(T30, Table283781015[#All], 2, 0)</f>
        <v>#N/A</v>
      </c>
      <c r="BA30" s="56" t="e">
        <f>VLOOKUP(U30, Table283781015[#All], 2, 0)</f>
        <v>#N/A</v>
      </c>
      <c r="BB30" s="56" t="e">
        <f>VLOOKUP(V30, Table283781015[#All], 2, 0)</f>
        <v>#N/A</v>
      </c>
      <c r="BC30" s="56" t="e">
        <f>VLOOKUP(W30, Table283781015[#All], 2, 0)</f>
        <v>#N/A</v>
      </c>
      <c r="BD30" s="56" t="e">
        <f>VLOOKUP(X30, Table283781015[#All], 2, 0)</f>
        <v>#N/A</v>
      </c>
      <c r="BE30" s="56" t="e">
        <f>VLOOKUP(Y30, Table283781015[#All], 2, 0)</f>
        <v>#N/A</v>
      </c>
      <c r="BF30" s="56" t="e">
        <f>VLOOKUP(Z30, Table283781015[#All], 2, 0)</f>
        <v>#N/A</v>
      </c>
      <c r="BG30" s="56" t="e">
        <f>VLOOKUP(AA30, Table283781015[#All], 2, 0)</f>
        <v>#N/A</v>
      </c>
      <c r="BH30" s="56" t="e">
        <f>VLOOKUP(AB30, Table283781015[#All], 2, 0)</f>
        <v>#N/A</v>
      </c>
      <c r="BI30" s="56" t="e">
        <f>VLOOKUP(AC30, Table283781015[#All], 2, 0)</f>
        <v>#N/A</v>
      </c>
      <c r="BJ30" s="58"/>
      <c r="BK30" s="55" t="e">
        <f t="shared" si="1"/>
        <v>#N/A</v>
      </c>
      <c r="BL30" s="42"/>
      <c r="BM30" s="42"/>
      <c r="BN30" s="42"/>
      <c r="BO30" s="42"/>
      <c r="BP30" s="42"/>
      <c r="BQ30" s="42"/>
      <c r="BR30" s="42"/>
      <c r="BS30" s="42"/>
      <c r="BT30" s="42"/>
      <c r="BU30" s="42"/>
      <c r="BV30" s="42"/>
      <c r="BW30" s="42"/>
      <c r="BX30" s="42"/>
      <c r="BY30" s="42"/>
      <c r="BZ30" s="42"/>
      <c r="CA30" s="42"/>
      <c r="CB30" s="42"/>
    </row>
    <row r="31" spans="1:80" ht="16.5" thickBot="1">
      <c r="B31" s="62"/>
      <c r="C31" s="63"/>
      <c r="D31" s="6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63"/>
      <c r="AF31" s="63"/>
      <c r="AG31" s="64"/>
    </row>
    <row r="32" spans="1:80">
      <c r="E32" s="42"/>
    </row>
  </sheetData>
  <mergeCells count="2">
    <mergeCell ref="C2:AF2"/>
    <mergeCell ref="E4:AF4"/>
  </mergeCells>
  <dataValidations count="1">
    <dataValidation type="list" allowBlank="1" showInputMessage="1" showErrorMessage="1" sqref="J11:J17 F7:F17 K12:K17 L13:L17 I10:I17 M14:M16 N15:N16 O16 H9:H17 M17:P17 F18:Q18 F19:R19 F20:S30 G8:G17 U22:U30 V23:V30 W24:W30 X25:X30 Y26:Y30 Z27:Z30 AA28:AA30 AB29:AB30 AC30 T21:T30" xr:uid="{921CEC7F-C79B-493E-BA8C-D892ECE4C6AC}">
      <formula1>Scale</formula1>
    </dataValidation>
  </dataValidations>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0A3A-C140-453B-9810-75EAD1B736AE}">
  <dimension ref="A1:CN38"/>
  <sheetViews>
    <sheetView topLeftCell="A28" zoomScale="60" zoomScaleNormal="37" workbookViewId="0">
      <selection activeCell="E32" sqref="E32"/>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36" width="10.625" style="31" customWidth="1"/>
    <col min="37" max="38" width="10.625" style="42" customWidth="1"/>
    <col min="39" max="39" width="3.375" style="42" customWidth="1"/>
    <col min="40" max="40" width="3.375" style="42" hidden="1" customWidth="1"/>
    <col min="41" max="41" width="20" style="42" hidden="1" customWidth="1"/>
    <col min="42" max="42" width="11.625" style="42" hidden="1" customWidth="1"/>
    <col min="43" max="43" width="10.875" style="42" hidden="1" customWidth="1"/>
    <col min="44" max="75" width="5.125" style="42" hidden="1" customWidth="1"/>
    <col min="76" max="76" width="10.875" style="42" hidden="1" customWidth="1"/>
    <col min="77" max="78" width="10.875" style="42" customWidth="1"/>
    <col min="79" max="16384" width="10.875" style="42"/>
  </cols>
  <sheetData>
    <row r="1" spans="1:92" s="43" customFormat="1" ht="16.5" thickBot="1">
      <c r="A1" s="42"/>
      <c r="B1" s="42"/>
      <c r="C1" s="42"/>
      <c r="D1" s="42"/>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c r="CA1" s="42"/>
      <c r="CB1" s="42"/>
      <c r="CC1" s="42"/>
      <c r="CD1" s="42"/>
      <c r="CE1" s="42"/>
      <c r="CF1" s="42"/>
      <c r="CG1" s="42"/>
      <c r="CH1" s="42"/>
      <c r="CI1" s="42"/>
      <c r="CJ1" s="42"/>
      <c r="CK1" s="42"/>
      <c r="CL1" s="42"/>
      <c r="CM1" s="42"/>
      <c r="CN1" s="42"/>
    </row>
    <row r="2" spans="1:92" s="43" customFormat="1" ht="26.25">
      <c r="A2" s="42"/>
      <c r="B2" s="44"/>
      <c r="C2" s="96" t="s">
        <v>114</v>
      </c>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96"/>
      <c r="AG2" s="96"/>
      <c r="AH2" s="96"/>
      <c r="AI2" s="96"/>
      <c r="AJ2" s="96"/>
      <c r="AK2" s="96"/>
      <c r="AL2" s="96"/>
      <c r="AM2" s="45"/>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row>
    <row r="3" spans="1:92" s="43" customFormat="1" ht="21.75" thickBot="1">
      <c r="A3" s="42"/>
      <c r="B3" s="46"/>
      <c r="C3" s="42"/>
      <c r="D3" s="42"/>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7"/>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row>
    <row r="4" spans="1:92" s="43" customFormat="1" ht="21.75" thickBot="1">
      <c r="A4" s="42"/>
      <c r="B4" s="46"/>
      <c r="C4" s="24" t="s">
        <v>11</v>
      </c>
      <c r="D4" s="4"/>
      <c r="E4" s="100" t="s">
        <v>12</v>
      </c>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2"/>
      <c r="AM4" s="47"/>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row>
    <row r="5" spans="1:92" s="43" customFormat="1" ht="17.25" customHeight="1">
      <c r="A5" s="42"/>
      <c r="B5" s="46"/>
      <c r="C5" s="74"/>
      <c r="D5" s="42"/>
      <c r="E5" s="75" t="s">
        <v>13</v>
      </c>
      <c r="F5" s="32" t="s">
        <v>115</v>
      </c>
      <c r="G5" s="32" t="s">
        <v>116</v>
      </c>
      <c r="H5" s="32" t="s">
        <v>117</v>
      </c>
      <c r="I5" s="32" t="s">
        <v>118</v>
      </c>
      <c r="J5" s="32" t="s">
        <v>119</v>
      </c>
      <c r="K5" s="32" t="s">
        <v>375</v>
      </c>
      <c r="L5" s="32" t="s">
        <v>120</v>
      </c>
      <c r="M5" s="32" t="s">
        <v>350</v>
      </c>
      <c r="N5" s="32" t="s">
        <v>121</v>
      </c>
      <c r="O5" s="32" t="s">
        <v>122</v>
      </c>
      <c r="P5" s="32" t="s">
        <v>123</v>
      </c>
      <c r="Q5" s="32" t="s">
        <v>124</v>
      </c>
      <c r="R5" s="32" t="s">
        <v>125</v>
      </c>
      <c r="S5" s="32" t="s">
        <v>126</v>
      </c>
      <c r="T5" s="32" t="s">
        <v>127</v>
      </c>
      <c r="U5" s="32" t="s">
        <v>128</v>
      </c>
      <c r="V5" s="32" t="s">
        <v>129</v>
      </c>
      <c r="W5" s="32" t="s">
        <v>130</v>
      </c>
      <c r="X5" s="32" t="s">
        <v>131</v>
      </c>
      <c r="Y5" s="32" t="s">
        <v>132</v>
      </c>
      <c r="Z5" s="32" t="s">
        <v>133</v>
      </c>
      <c r="AA5" s="32" t="s">
        <v>134</v>
      </c>
      <c r="AB5" s="32" t="s">
        <v>135</v>
      </c>
      <c r="AC5" s="32" t="s">
        <v>136</v>
      </c>
      <c r="AD5" s="32" t="s">
        <v>137</v>
      </c>
      <c r="AE5" s="32" t="s">
        <v>351</v>
      </c>
      <c r="AF5" s="32" t="s">
        <v>352</v>
      </c>
      <c r="AG5" s="32" t="s">
        <v>138</v>
      </c>
      <c r="AH5" s="32" t="s">
        <v>139</v>
      </c>
      <c r="AI5" s="32" t="s">
        <v>140</v>
      </c>
      <c r="AJ5" s="32" t="s">
        <v>141</v>
      </c>
      <c r="AK5" s="32" t="s">
        <v>14</v>
      </c>
      <c r="AL5" s="76" t="s">
        <v>15</v>
      </c>
      <c r="AM5" s="47"/>
      <c r="AN5" s="42"/>
      <c r="AO5" s="42" t="s">
        <v>16</v>
      </c>
      <c r="AP5" s="42" t="s">
        <v>17</v>
      </c>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row>
    <row r="6" spans="1:92" s="43" customFormat="1" ht="39.950000000000003" customHeight="1">
      <c r="A6" s="42"/>
      <c r="B6" s="46"/>
      <c r="C6" s="48"/>
      <c r="D6" s="42"/>
      <c r="E6" s="37" t="s">
        <v>353</v>
      </c>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8" t="e">
        <f>BW6</f>
        <v>#N/A</v>
      </c>
      <c r="AL6" s="52" t="e">
        <f>RANK(AK6,$AK6:$AK36,0)</f>
        <v>#N/A</v>
      </c>
      <c r="AM6" s="47"/>
      <c r="AN6" s="42"/>
      <c r="AO6" s="42" t="s">
        <v>18</v>
      </c>
      <c r="AP6" s="42">
        <v>10</v>
      </c>
      <c r="AQ6" s="42"/>
      <c r="AR6" s="53"/>
      <c r="AS6" s="54" t="e">
        <f>1/AR7</f>
        <v>#N/A</v>
      </c>
      <c r="AT6" s="54" t="e">
        <f>1/AR8</f>
        <v>#N/A</v>
      </c>
      <c r="AU6" s="54" t="e">
        <f>1/AR9</f>
        <v>#N/A</v>
      </c>
      <c r="AV6" s="54" t="e">
        <f>1/AR10</f>
        <v>#N/A</v>
      </c>
      <c r="AW6" s="54" t="e">
        <f>1/AR11</f>
        <v>#N/A</v>
      </c>
      <c r="AX6" s="54" t="e">
        <f>1/AR12</f>
        <v>#N/A</v>
      </c>
      <c r="AY6" s="54" t="e">
        <f>1/AR13</f>
        <v>#N/A</v>
      </c>
      <c r="AZ6" s="54" t="e">
        <f>1/AR14</f>
        <v>#N/A</v>
      </c>
      <c r="BA6" s="54" t="e">
        <f>1/AR15</f>
        <v>#N/A</v>
      </c>
      <c r="BB6" s="54" t="e">
        <f>1/AR16</f>
        <v>#N/A</v>
      </c>
      <c r="BC6" s="54" t="e">
        <f>1/AR17</f>
        <v>#N/A</v>
      </c>
      <c r="BD6" s="54" t="e">
        <f>1/AR18</f>
        <v>#N/A</v>
      </c>
      <c r="BE6" s="54" t="e">
        <f>1/AR19</f>
        <v>#N/A</v>
      </c>
      <c r="BF6" s="54" t="e">
        <f>1/AR20</f>
        <v>#N/A</v>
      </c>
      <c r="BG6" s="54" t="e">
        <f>1/AR21</f>
        <v>#N/A</v>
      </c>
      <c r="BH6" s="54" t="e">
        <f>1/AR22</f>
        <v>#N/A</v>
      </c>
      <c r="BI6" s="54" t="e">
        <f>1/AR23</f>
        <v>#N/A</v>
      </c>
      <c r="BJ6" s="54" t="e">
        <f>1/AR24</f>
        <v>#N/A</v>
      </c>
      <c r="BK6" s="54" t="e">
        <f>1/AR25</f>
        <v>#N/A</v>
      </c>
      <c r="BL6" s="54" t="e">
        <f>1/AR26</f>
        <v>#N/A</v>
      </c>
      <c r="BM6" s="54" t="e">
        <f>1/AR27</f>
        <v>#N/A</v>
      </c>
      <c r="BN6" s="54" t="e">
        <f>1/AR28</f>
        <v>#N/A</v>
      </c>
      <c r="BO6" s="54" t="e">
        <f>1/AR29</f>
        <v>#N/A</v>
      </c>
      <c r="BP6" s="54" t="e">
        <f>1/AR30</f>
        <v>#N/A</v>
      </c>
      <c r="BQ6" s="54" t="e">
        <f>1/AR31</f>
        <v>#N/A</v>
      </c>
      <c r="BR6" s="54" t="e">
        <f>1/AR32</f>
        <v>#N/A</v>
      </c>
      <c r="BS6" s="54" t="e">
        <f>1/AR33</f>
        <v>#N/A</v>
      </c>
      <c r="BT6" s="54" t="e">
        <f>1/AR34</f>
        <v>#N/A</v>
      </c>
      <c r="BU6" s="54" t="e">
        <f>1/AR35</f>
        <v>#N/A</v>
      </c>
      <c r="BV6" s="54" t="e">
        <f>1/AR36</f>
        <v>#N/A</v>
      </c>
      <c r="BW6" s="55" t="e">
        <f t="shared" ref="BW6:BW36" si="0">SUM(AR6:BV6)</f>
        <v>#N/A</v>
      </c>
      <c r="BX6" s="42"/>
      <c r="BY6" s="42"/>
      <c r="BZ6" s="42"/>
      <c r="CA6" s="42"/>
      <c r="CB6" s="42"/>
      <c r="CC6" s="42"/>
      <c r="CD6" s="42"/>
      <c r="CE6" s="42"/>
      <c r="CF6" s="42"/>
      <c r="CG6" s="42"/>
      <c r="CH6" s="42"/>
      <c r="CI6" s="42"/>
      <c r="CJ6" s="42"/>
      <c r="CK6" s="42"/>
      <c r="CL6" s="42"/>
      <c r="CM6" s="42"/>
      <c r="CN6" s="42"/>
    </row>
    <row r="7" spans="1:92" s="43" customFormat="1" ht="48.95" customHeight="1">
      <c r="A7" s="42"/>
      <c r="B7" s="46"/>
      <c r="C7" s="48"/>
      <c r="D7" s="42"/>
      <c r="E7" s="37" t="s">
        <v>142</v>
      </c>
      <c r="F7" s="8"/>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8" t="e">
        <f t="shared" ref="AK7:AK25" si="1">BW7</f>
        <v>#N/A</v>
      </c>
      <c r="AL7" s="52" t="e">
        <f>RANK(AK7,$AK6:$AK36,0)</f>
        <v>#N/A</v>
      </c>
      <c r="AM7" s="47"/>
      <c r="AN7" s="42"/>
      <c r="AO7" s="42" t="s">
        <v>19</v>
      </c>
      <c r="AP7" s="42">
        <v>5</v>
      </c>
      <c r="AQ7" s="42"/>
      <c r="AR7" s="56" t="e">
        <f>VLOOKUP(F7, Table2837810[#All], 2, 0)</f>
        <v>#N/A</v>
      </c>
      <c r="AS7" s="53"/>
      <c r="AT7" s="54" t="e">
        <f>1/AS8</f>
        <v>#N/A</v>
      </c>
      <c r="AU7" s="54" t="e">
        <f>1/AS9</f>
        <v>#N/A</v>
      </c>
      <c r="AV7" s="54" t="e">
        <f>1/AS10</f>
        <v>#N/A</v>
      </c>
      <c r="AW7" s="54" t="e">
        <f>1/AS11</f>
        <v>#N/A</v>
      </c>
      <c r="AX7" s="54" t="e">
        <f>1/AS12</f>
        <v>#N/A</v>
      </c>
      <c r="AY7" s="54" t="e">
        <f>1/AS13</f>
        <v>#N/A</v>
      </c>
      <c r="AZ7" s="54" t="e">
        <f>1/AS14</f>
        <v>#N/A</v>
      </c>
      <c r="BA7" s="54" t="e">
        <f>1/AS15</f>
        <v>#N/A</v>
      </c>
      <c r="BB7" s="54" t="e">
        <f>1/AS16</f>
        <v>#N/A</v>
      </c>
      <c r="BC7" s="54" t="e">
        <f>1/AS17</f>
        <v>#N/A</v>
      </c>
      <c r="BD7" s="54" t="e">
        <f>1/AS18</f>
        <v>#N/A</v>
      </c>
      <c r="BE7" s="54" t="e">
        <f>1/AS19</f>
        <v>#N/A</v>
      </c>
      <c r="BF7" s="54" t="e">
        <f>1/AS20</f>
        <v>#N/A</v>
      </c>
      <c r="BG7" s="54" t="e">
        <f>1/AS21</f>
        <v>#N/A</v>
      </c>
      <c r="BH7" s="54" t="e">
        <f>1/AS22</f>
        <v>#N/A</v>
      </c>
      <c r="BI7" s="54" t="e">
        <f>1/AS23</f>
        <v>#N/A</v>
      </c>
      <c r="BJ7" s="54" t="e">
        <f>1/AS24</f>
        <v>#N/A</v>
      </c>
      <c r="BK7" s="54" t="e">
        <f>1/AS25</f>
        <v>#N/A</v>
      </c>
      <c r="BL7" s="54" t="e">
        <f>1/AS26</f>
        <v>#N/A</v>
      </c>
      <c r="BM7" s="54" t="e">
        <f>1/AS27</f>
        <v>#N/A</v>
      </c>
      <c r="BN7" s="54" t="e">
        <f>1/AS28</f>
        <v>#N/A</v>
      </c>
      <c r="BO7" s="54" t="e">
        <f>1/AS29</f>
        <v>#N/A</v>
      </c>
      <c r="BP7" s="54" t="e">
        <f>1/AS30</f>
        <v>#N/A</v>
      </c>
      <c r="BQ7" s="54" t="e">
        <f>1/AS31</f>
        <v>#N/A</v>
      </c>
      <c r="BR7" s="54" t="e">
        <f>1/AS32</f>
        <v>#N/A</v>
      </c>
      <c r="BS7" s="54" t="e">
        <f>1/AS33</f>
        <v>#N/A</v>
      </c>
      <c r="BT7" s="54" t="e">
        <f>1/AS34</f>
        <v>#N/A</v>
      </c>
      <c r="BU7" s="54" t="e">
        <f>1/AS35</f>
        <v>#N/A</v>
      </c>
      <c r="BV7" s="54" t="e">
        <f>1/AS36</f>
        <v>#N/A</v>
      </c>
      <c r="BW7" s="55" t="e">
        <f t="shared" si="0"/>
        <v>#N/A</v>
      </c>
      <c r="BX7" s="42"/>
      <c r="BY7" s="42"/>
      <c r="BZ7" s="42"/>
      <c r="CA7" s="42"/>
      <c r="CB7" s="42"/>
      <c r="CC7" s="42"/>
      <c r="CD7" s="42"/>
      <c r="CE7" s="42"/>
      <c r="CF7" s="42"/>
      <c r="CG7" s="42"/>
      <c r="CH7" s="42"/>
      <c r="CI7" s="42"/>
      <c r="CJ7" s="42"/>
      <c r="CK7" s="42"/>
      <c r="CL7" s="42"/>
      <c r="CM7" s="42"/>
      <c r="CN7" s="42"/>
    </row>
    <row r="8" spans="1:92" s="43" customFormat="1" ht="55.5" customHeight="1">
      <c r="A8" s="42"/>
      <c r="B8" s="46"/>
      <c r="C8" s="48"/>
      <c r="D8" s="42"/>
      <c r="E8" s="37" t="s">
        <v>143</v>
      </c>
      <c r="F8" s="8"/>
      <c r="G8" s="8"/>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8" t="e">
        <f t="shared" si="1"/>
        <v>#N/A</v>
      </c>
      <c r="AL8" s="52" t="e">
        <f>RANK(AK8,$AK6:$AK36,0)</f>
        <v>#N/A</v>
      </c>
      <c r="AM8" s="47"/>
      <c r="AN8" s="42"/>
      <c r="AO8" s="42" t="s">
        <v>20</v>
      </c>
      <c r="AP8" s="42">
        <v>1</v>
      </c>
      <c r="AQ8" s="42"/>
      <c r="AR8" s="56" t="e">
        <f>VLOOKUP(F8, Table2837810[#All], 2, 0)</f>
        <v>#N/A</v>
      </c>
      <c r="AS8" s="56" t="e">
        <f>VLOOKUP(G8, Table2837810[#All], 2, 0)</f>
        <v>#N/A</v>
      </c>
      <c r="AT8" s="53"/>
      <c r="AU8" s="54" t="e">
        <f>1/AT9</f>
        <v>#N/A</v>
      </c>
      <c r="AV8" s="54" t="e">
        <f>1/AT10</f>
        <v>#N/A</v>
      </c>
      <c r="AW8" s="54" t="e">
        <f>1/AT11</f>
        <v>#N/A</v>
      </c>
      <c r="AX8" s="54" t="e">
        <f>1/AT12</f>
        <v>#N/A</v>
      </c>
      <c r="AY8" s="54" t="e">
        <f>1/AT13</f>
        <v>#N/A</v>
      </c>
      <c r="AZ8" s="54" t="e">
        <f>1/AT14</f>
        <v>#N/A</v>
      </c>
      <c r="BA8" s="54" t="e">
        <f>1/AT15</f>
        <v>#N/A</v>
      </c>
      <c r="BB8" s="54" t="e">
        <f>1/AT16</f>
        <v>#N/A</v>
      </c>
      <c r="BC8" s="54" t="e">
        <f>1/AT17</f>
        <v>#N/A</v>
      </c>
      <c r="BD8" s="54" t="e">
        <f>1/AT18</f>
        <v>#N/A</v>
      </c>
      <c r="BE8" s="54" t="e">
        <f>1/AT19</f>
        <v>#N/A</v>
      </c>
      <c r="BF8" s="54" t="e">
        <f>1/AT20</f>
        <v>#N/A</v>
      </c>
      <c r="BG8" s="54" t="e">
        <f>1/AT21</f>
        <v>#N/A</v>
      </c>
      <c r="BH8" s="54" t="e">
        <f>1/AT22</f>
        <v>#N/A</v>
      </c>
      <c r="BI8" s="54" t="e">
        <f>1/AT23</f>
        <v>#N/A</v>
      </c>
      <c r="BJ8" s="54" t="e">
        <f>1/AT24</f>
        <v>#N/A</v>
      </c>
      <c r="BK8" s="54" t="e">
        <f>1/AT25</f>
        <v>#N/A</v>
      </c>
      <c r="BL8" s="54" t="e">
        <f>1/AT26</f>
        <v>#N/A</v>
      </c>
      <c r="BM8" s="54" t="e">
        <f>1/AT27</f>
        <v>#N/A</v>
      </c>
      <c r="BN8" s="54" t="e">
        <f>1/AT28</f>
        <v>#N/A</v>
      </c>
      <c r="BO8" s="54" t="e">
        <f>1/AT29</f>
        <v>#N/A</v>
      </c>
      <c r="BP8" s="54" t="e">
        <f>1/AT30</f>
        <v>#N/A</v>
      </c>
      <c r="BQ8" s="54" t="e">
        <f>1/AT31</f>
        <v>#N/A</v>
      </c>
      <c r="BR8" s="54" t="e">
        <f>1/AT32</f>
        <v>#N/A</v>
      </c>
      <c r="BS8" s="54" t="e">
        <f>1/AT33</f>
        <v>#N/A</v>
      </c>
      <c r="BT8" s="54" t="e">
        <f>1/AT34</f>
        <v>#N/A</v>
      </c>
      <c r="BU8" s="54" t="e">
        <f>1/AT35</f>
        <v>#N/A</v>
      </c>
      <c r="BV8" s="54" t="e">
        <f>1/AT36</f>
        <v>#N/A</v>
      </c>
      <c r="BW8" s="55" t="e">
        <f t="shared" si="0"/>
        <v>#N/A</v>
      </c>
      <c r="BX8" s="42"/>
      <c r="BY8" s="42"/>
      <c r="BZ8" s="42"/>
      <c r="CA8" s="42"/>
      <c r="CB8" s="42"/>
      <c r="CC8" s="42"/>
      <c r="CD8" s="42"/>
      <c r="CE8" s="42"/>
      <c r="CF8" s="42"/>
      <c r="CG8" s="42"/>
      <c r="CH8" s="42"/>
      <c r="CI8" s="42"/>
      <c r="CJ8" s="42"/>
      <c r="CK8" s="42"/>
      <c r="CL8" s="42"/>
      <c r="CM8" s="42"/>
      <c r="CN8" s="42"/>
    </row>
    <row r="9" spans="1:92" s="43" customFormat="1" ht="45.6" customHeight="1">
      <c r="A9" s="42"/>
      <c r="B9" s="46"/>
      <c r="C9" s="48"/>
      <c r="D9" s="42"/>
      <c r="E9" s="38" t="s">
        <v>144</v>
      </c>
      <c r="F9" s="8"/>
      <c r="G9" s="8"/>
      <c r="H9" s="10"/>
      <c r="I9" s="9"/>
      <c r="J9" s="9"/>
      <c r="K9" s="9"/>
      <c r="L9" s="9"/>
      <c r="M9" s="9"/>
      <c r="N9" s="9"/>
      <c r="O9" s="9"/>
      <c r="P9" s="9"/>
      <c r="Q9" s="9"/>
      <c r="R9" s="9"/>
      <c r="S9" s="9"/>
      <c r="T9" s="9"/>
      <c r="U9" s="9"/>
      <c r="V9" s="9"/>
      <c r="W9" s="9"/>
      <c r="X9" s="9"/>
      <c r="Y9" s="9"/>
      <c r="Z9" s="9"/>
      <c r="AA9" s="9"/>
      <c r="AB9" s="9"/>
      <c r="AC9" s="9"/>
      <c r="AD9" s="9"/>
      <c r="AE9" s="9"/>
      <c r="AF9" s="9"/>
      <c r="AG9" s="9"/>
      <c r="AH9" s="9"/>
      <c r="AI9" s="9"/>
      <c r="AJ9" s="9"/>
      <c r="AK9" s="8" t="e">
        <f t="shared" si="1"/>
        <v>#N/A</v>
      </c>
      <c r="AL9" s="52" t="e">
        <f>RANK(AK9,$AK6:$AK36,0)</f>
        <v>#N/A</v>
      </c>
      <c r="AM9" s="47"/>
      <c r="AN9" s="42"/>
      <c r="AO9" s="42" t="s">
        <v>21</v>
      </c>
      <c r="AP9" s="42">
        <v>0.2</v>
      </c>
      <c r="AQ9" s="42"/>
      <c r="AR9" s="56" t="e">
        <f>VLOOKUP(F9, Table2837810[#All], 2, 0)</f>
        <v>#N/A</v>
      </c>
      <c r="AS9" s="56" t="e">
        <f>VLOOKUP(G9, Table2837810[#All], 2, 0)</f>
        <v>#N/A</v>
      </c>
      <c r="AT9" s="56" t="e">
        <f>VLOOKUP(H9, Table2837810[#All], 2, 0)</f>
        <v>#N/A</v>
      </c>
      <c r="AU9" s="53"/>
      <c r="AV9" s="54" t="e">
        <f>1/AU10</f>
        <v>#N/A</v>
      </c>
      <c r="AW9" s="54" t="e">
        <f>1/AU11</f>
        <v>#N/A</v>
      </c>
      <c r="AX9" s="54" t="e">
        <f>1/AU12</f>
        <v>#N/A</v>
      </c>
      <c r="AY9" s="54" t="e">
        <f>1/AU13</f>
        <v>#N/A</v>
      </c>
      <c r="AZ9" s="54" t="e">
        <f>1/AU14</f>
        <v>#N/A</v>
      </c>
      <c r="BA9" s="54" t="e">
        <f>1/AU15</f>
        <v>#N/A</v>
      </c>
      <c r="BB9" s="54" t="e">
        <f>1/AU16</f>
        <v>#N/A</v>
      </c>
      <c r="BC9" s="54" t="e">
        <f>1/AU17</f>
        <v>#N/A</v>
      </c>
      <c r="BD9" s="54" t="e">
        <f>1/AU18</f>
        <v>#N/A</v>
      </c>
      <c r="BE9" s="54" t="e">
        <f>1/AU19</f>
        <v>#N/A</v>
      </c>
      <c r="BF9" s="54" t="e">
        <f>1/AU20</f>
        <v>#N/A</v>
      </c>
      <c r="BG9" s="54" t="e">
        <f>1/AU21</f>
        <v>#N/A</v>
      </c>
      <c r="BH9" s="54" t="e">
        <f>1/AU22</f>
        <v>#N/A</v>
      </c>
      <c r="BI9" s="54" t="e">
        <f>1/AU23</f>
        <v>#N/A</v>
      </c>
      <c r="BJ9" s="54" t="e">
        <f>1/AU24</f>
        <v>#N/A</v>
      </c>
      <c r="BK9" s="54" t="e">
        <f>1/AU25</f>
        <v>#N/A</v>
      </c>
      <c r="BL9" s="54" t="e">
        <f>1/AU26</f>
        <v>#N/A</v>
      </c>
      <c r="BM9" s="54" t="e">
        <f>1/AU27</f>
        <v>#N/A</v>
      </c>
      <c r="BN9" s="54" t="e">
        <f>1/AU28</f>
        <v>#N/A</v>
      </c>
      <c r="BO9" s="54" t="e">
        <f>1/AU29</f>
        <v>#N/A</v>
      </c>
      <c r="BP9" s="54" t="e">
        <f>1/AU30</f>
        <v>#N/A</v>
      </c>
      <c r="BQ9" s="54" t="e">
        <f>1/AU31</f>
        <v>#N/A</v>
      </c>
      <c r="BR9" s="54" t="e">
        <f>1/AU32</f>
        <v>#N/A</v>
      </c>
      <c r="BS9" s="54" t="e">
        <f>1/AU33</f>
        <v>#N/A</v>
      </c>
      <c r="BT9" s="54" t="e">
        <f>1/AU34</f>
        <v>#N/A</v>
      </c>
      <c r="BU9" s="54" t="e">
        <f>1/AU35</f>
        <v>#N/A</v>
      </c>
      <c r="BV9" s="54" t="e">
        <f>1/AU36</f>
        <v>#N/A</v>
      </c>
      <c r="BW9" s="55" t="e">
        <f t="shared" si="0"/>
        <v>#N/A</v>
      </c>
      <c r="BX9" s="42"/>
      <c r="BY9" s="42"/>
      <c r="BZ9" s="42"/>
      <c r="CA9" s="42"/>
      <c r="CB9" s="42"/>
      <c r="CC9" s="42"/>
      <c r="CD9" s="42"/>
      <c r="CE9" s="42"/>
      <c r="CF9" s="42"/>
      <c r="CG9" s="42"/>
      <c r="CH9" s="42"/>
      <c r="CI9" s="42"/>
      <c r="CJ9" s="42"/>
      <c r="CK9" s="42"/>
      <c r="CL9" s="42"/>
      <c r="CM9" s="42"/>
      <c r="CN9" s="42"/>
    </row>
    <row r="10" spans="1:92" s="43" customFormat="1" ht="40.9" customHeight="1">
      <c r="A10" s="42"/>
      <c r="B10" s="46"/>
      <c r="C10" s="48"/>
      <c r="D10" s="42"/>
      <c r="E10" s="38" t="s">
        <v>145</v>
      </c>
      <c r="F10" s="10"/>
      <c r="G10" s="8"/>
      <c r="H10" s="8"/>
      <c r="I10" s="10"/>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8" t="e">
        <f t="shared" si="1"/>
        <v>#N/A</v>
      </c>
      <c r="AL10" s="52" t="e">
        <f>RANK(AK10,$AK6:$AK36,0)</f>
        <v>#N/A</v>
      </c>
      <c r="AM10" s="47"/>
      <c r="AN10" s="42"/>
      <c r="AO10" s="42" t="s">
        <v>22</v>
      </c>
      <c r="AP10" s="42">
        <v>0.1</v>
      </c>
      <c r="AQ10" s="42"/>
      <c r="AR10" s="56" t="e">
        <f>VLOOKUP(F10, Table2837810[#All], 2, 0)</f>
        <v>#N/A</v>
      </c>
      <c r="AS10" s="56" t="e">
        <f>VLOOKUP(G10, Table2837810[#All], 2, 0)</f>
        <v>#N/A</v>
      </c>
      <c r="AT10" s="56" t="e">
        <f>VLOOKUP(H10, Table2837810[#All], 2, 0)</f>
        <v>#N/A</v>
      </c>
      <c r="AU10" s="56" t="e">
        <f>VLOOKUP(I10, Table2837810[#All], 2, 0)</f>
        <v>#N/A</v>
      </c>
      <c r="AV10" s="53"/>
      <c r="AW10" s="54" t="e">
        <f>1/AV11</f>
        <v>#N/A</v>
      </c>
      <c r="AX10" s="54" t="e">
        <f>1/AV12</f>
        <v>#N/A</v>
      </c>
      <c r="AY10" s="54" t="e">
        <f>1/AV13</f>
        <v>#N/A</v>
      </c>
      <c r="AZ10" s="54" t="e">
        <f>1/AV14</f>
        <v>#N/A</v>
      </c>
      <c r="BA10" s="54" t="e">
        <f>1/AV15</f>
        <v>#N/A</v>
      </c>
      <c r="BB10" s="54" t="e">
        <f>1/AV16</f>
        <v>#N/A</v>
      </c>
      <c r="BC10" s="54" t="e">
        <f>1/AV17</f>
        <v>#N/A</v>
      </c>
      <c r="BD10" s="54" t="e">
        <f>1/AV18</f>
        <v>#N/A</v>
      </c>
      <c r="BE10" s="54" t="e">
        <f>1/AV19</f>
        <v>#N/A</v>
      </c>
      <c r="BF10" s="54" t="e">
        <f>1/AV20</f>
        <v>#N/A</v>
      </c>
      <c r="BG10" s="54" t="e">
        <f>1/AV21</f>
        <v>#N/A</v>
      </c>
      <c r="BH10" s="54" t="e">
        <f>1/AV22</f>
        <v>#N/A</v>
      </c>
      <c r="BI10" s="54" t="e">
        <f>1/AV23</f>
        <v>#N/A</v>
      </c>
      <c r="BJ10" s="54" t="e">
        <f>1/AV24</f>
        <v>#N/A</v>
      </c>
      <c r="BK10" s="54" t="e">
        <f>1/AV25</f>
        <v>#N/A</v>
      </c>
      <c r="BL10" s="54" t="e">
        <f>1/AV26</f>
        <v>#N/A</v>
      </c>
      <c r="BM10" s="54" t="e">
        <f>1/AV27</f>
        <v>#N/A</v>
      </c>
      <c r="BN10" s="54" t="e">
        <f>1/AV28</f>
        <v>#N/A</v>
      </c>
      <c r="BO10" s="54" t="e">
        <f>1/AV29</f>
        <v>#N/A</v>
      </c>
      <c r="BP10" s="54" t="e">
        <f>1/AV30</f>
        <v>#N/A</v>
      </c>
      <c r="BQ10" s="54" t="e">
        <f>1/AV31</f>
        <v>#N/A</v>
      </c>
      <c r="BR10" s="54" t="e">
        <f>1/AV32</f>
        <v>#N/A</v>
      </c>
      <c r="BS10" s="54" t="e">
        <f>1/AV33</f>
        <v>#N/A</v>
      </c>
      <c r="BT10" s="54" t="e">
        <f>1/AV34</f>
        <v>#N/A</v>
      </c>
      <c r="BU10" s="54" t="e">
        <f>1/AV35</f>
        <v>#N/A</v>
      </c>
      <c r="BV10" s="54" t="e">
        <f>1/AV36</f>
        <v>#N/A</v>
      </c>
      <c r="BW10" s="55" t="e">
        <f t="shared" si="0"/>
        <v>#N/A</v>
      </c>
      <c r="BX10" s="42"/>
      <c r="BY10" s="42"/>
      <c r="BZ10" s="42"/>
      <c r="CA10" s="42"/>
      <c r="CB10" s="42"/>
      <c r="CC10" s="42"/>
      <c r="CD10" s="42"/>
      <c r="CE10" s="42"/>
      <c r="CF10" s="42"/>
      <c r="CG10" s="42"/>
      <c r="CH10" s="42"/>
      <c r="CI10" s="42"/>
      <c r="CJ10" s="42"/>
      <c r="CK10" s="42"/>
      <c r="CL10" s="42"/>
      <c r="CM10" s="42"/>
      <c r="CN10" s="42"/>
    </row>
    <row r="11" spans="1:92" s="43" customFormat="1" ht="39.4" customHeight="1">
      <c r="A11" s="42"/>
      <c r="B11" s="46"/>
      <c r="C11" s="48"/>
      <c r="D11" s="42"/>
      <c r="E11" s="38" t="s">
        <v>354</v>
      </c>
      <c r="F11" s="8"/>
      <c r="G11" s="8"/>
      <c r="H11" s="10"/>
      <c r="I11" s="8"/>
      <c r="J11" s="8"/>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8" t="e">
        <f t="shared" si="1"/>
        <v>#N/A</v>
      </c>
      <c r="AL11" s="52" t="e">
        <f>RANK(AK11,$AK6:$AK36,0)</f>
        <v>#N/A</v>
      </c>
      <c r="AM11" s="47"/>
      <c r="AN11" s="42"/>
      <c r="AO11" s="42"/>
      <c r="AP11" s="42"/>
      <c r="AQ11" s="42"/>
      <c r="AR11" s="56" t="e">
        <f>VLOOKUP(F11, Table2837810[#All], 2, 0)</f>
        <v>#N/A</v>
      </c>
      <c r="AS11" s="56" t="e">
        <f>VLOOKUP(G11, Table2837810[#All], 2, 0)</f>
        <v>#N/A</v>
      </c>
      <c r="AT11" s="56" t="e">
        <f>VLOOKUP(H11, Table2837810[#All], 2, 0)</f>
        <v>#N/A</v>
      </c>
      <c r="AU11" s="56" t="e">
        <f>VLOOKUP(I11, Table2837810[#All], 2, 0)</f>
        <v>#N/A</v>
      </c>
      <c r="AV11" s="56" t="e">
        <f>VLOOKUP(J11, Table2837810[#All], 2, 0)</f>
        <v>#N/A</v>
      </c>
      <c r="AW11" s="53"/>
      <c r="AX11" s="54" t="e">
        <f>1/AW12</f>
        <v>#N/A</v>
      </c>
      <c r="AY11" s="54" t="e">
        <f>1/AW13</f>
        <v>#N/A</v>
      </c>
      <c r="AZ11" s="54" t="e">
        <f>1/AW14</f>
        <v>#N/A</v>
      </c>
      <c r="BA11" s="54" t="e">
        <f>1/AW15</f>
        <v>#N/A</v>
      </c>
      <c r="BB11" s="54" t="e">
        <f t="shared" ref="BB11" si="2">1/AW16</f>
        <v>#N/A</v>
      </c>
      <c r="BC11" s="54" t="e">
        <f>1/AW17</f>
        <v>#N/A</v>
      </c>
      <c r="BD11" s="54" t="e">
        <f>1/AW18</f>
        <v>#N/A</v>
      </c>
      <c r="BE11" s="54" t="e">
        <f>1/AW19</f>
        <v>#N/A</v>
      </c>
      <c r="BF11" s="54" t="e">
        <f>1/AW20</f>
        <v>#N/A</v>
      </c>
      <c r="BG11" s="54" t="e">
        <f>1/AW21</f>
        <v>#N/A</v>
      </c>
      <c r="BH11" s="54" t="e">
        <f>1/AW22</f>
        <v>#N/A</v>
      </c>
      <c r="BI11" s="54" t="e">
        <f>1/AW23</f>
        <v>#N/A</v>
      </c>
      <c r="BJ11" s="54" t="e">
        <f>1/AW24</f>
        <v>#N/A</v>
      </c>
      <c r="BK11" s="54" t="e">
        <f>1/AW25</f>
        <v>#N/A</v>
      </c>
      <c r="BL11" s="54" t="e">
        <f>1/AW26</f>
        <v>#N/A</v>
      </c>
      <c r="BM11" s="54" t="e">
        <f>1/AW27</f>
        <v>#N/A</v>
      </c>
      <c r="BN11" s="54" t="e">
        <f>1/AW28</f>
        <v>#N/A</v>
      </c>
      <c r="BO11" s="54" t="e">
        <f>1/AW29</f>
        <v>#N/A</v>
      </c>
      <c r="BP11" s="54" t="e">
        <f>1/AW30</f>
        <v>#N/A</v>
      </c>
      <c r="BQ11" s="54" t="e">
        <f>1/AW31</f>
        <v>#N/A</v>
      </c>
      <c r="BR11" s="54" t="e">
        <f>1/AW32</f>
        <v>#N/A</v>
      </c>
      <c r="BS11" s="54" t="e">
        <f>1/AW33</f>
        <v>#N/A</v>
      </c>
      <c r="BT11" s="54" t="e">
        <f>1/AW34</f>
        <v>#N/A</v>
      </c>
      <c r="BU11" s="54" t="e">
        <f>1/AW35</f>
        <v>#N/A</v>
      </c>
      <c r="BV11" s="54" t="e">
        <f>1/AW36</f>
        <v>#N/A</v>
      </c>
      <c r="BW11" s="55" t="e">
        <f t="shared" si="0"/>
        <v>#N/A</v>
      </c>
      <c r="BX11" s="42"/>
      <c r="BY11" s="42"/>
      <c r="BZ11" s="42"/>
      <c r="CA11" s="42"/>
      <c r="CB11" s="42"/>
      <c r="CC11" s="42"/>
      <c r="CD11" s="42"/>
      <c r="CE11" s="42"/>
      <c r="CF11" s="42"/>
      <c r="CG11" s="42"/>
      <c r="CH11" s="42"/>
      <c r="CI11" s="42"/>
      <c r="CJ11" s="42"/>
      <c r="CK11" s="42"/>
      <c r="CL11" s="42"/>
      <c r="CM11" s="42"/>
      <c r="CN11" s="42"/>
    </row>
    <row r="12" spans="1:92" s="43" customFormat="1" ht="54.4" customHeight="1">
      <c r="A12" s="42"/>
      <c r="B12" s="46"/>
      <c r="C12" s="48"/>
      <c r="D12" s="42"/>
      <c r="E12" s="38" t="s">
        <v>355</v>
      </c>
      <c r="F12" s="10"/>
      <c r="G12" s="8"/>
      <c r="H12" s="8"/>
      <c r="I12" s="8"/>
      <c r="J12" s="8"/>
      <c r="K12" s="8"/>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8" t="e">
        <f t="shared" si="1"/>
        <v>#N/A</v>
      </c>
      <c r="AL12" s="52" t="e">
        <f>RANK(AK12,$AK6:$AK36,0)</f>
        <v>#N/A</v>
      </c>
      <c r="AM12" s="47"/>
      <c r="AN12" s="42"/>
      <c r="AO12" s="42"/>
      <c r="AP12" s="42"/>
      <c r="AQ12" s="42"/>
      <c r="AR12" s="56" t="e">
        <f>VLOOKUP(F12, Table2837810[#All], 2, 0)</f>
        <v>#N/A</v>
      </c>
      <c r="AS12" s="56" t="e">
        <f>VLOOKUP(G12, Table2837810[#All], 2, 0)</f>
        <v>#N/A</v>
      </c>
      <c r="AT12" s="56" t="e">
        <f>VLOOKUP(H12, Table2837810[#All], 2, 0)</f>
        <v>#N/A</v>
      </c>
      <c r="AU12" s="56" t="e">
        <f>VLOOKUP(I12, Table2837810[#All], 2, 0)</f>
        <v>#N/A</v>
      </c>
      <c r="AV12" s="56" t="e">
        <f>VLOOKUP(J12, Table2837810[#All], 2, 0)</f>
        <v>#N/A</v>
      </c>
      <c r="AW12" s="56" t="e">
        <f>VLOOKUP(K12, Table2837810[#All], 2, 0)</f>
        <v>#N/A</v>
      </c>
      <c r="AX12" s="53"/>
      <c r="AY12" s="54" t="e">
        <f>1/AX13</f>
        <v>#N/A</v>
      </c>
      <c r="AZ12" s="54" t="e">
        <f>1/AX14</f>
        <v>#N/A</v>
      </c>
      <c r="BA12" s="54" t="e">
        <f>1/AX15</f>
        <v>#N/A</v>
      </c>
      <c r="BB12" s="54" t="e">
        <f>1/AX16</f>
        <v>#N/A</v>
      </c>
      <c r="BC12" s="54" t="e">
        <f t="shared" ref="BC12" si="3">1/AX17</f>
        <v>#N/A</v>
      </c>
      <c r="BD12" s="54" t="e">
        <f>1/AX18</f>
        <v>#N/A</v>
      </c>
      <c r="BE12" s="54" t="e">
        <f>1/AX19</f>
        <v>#N/A</v>
      </c>
      <c r="BF12" s="54" t="e">
        <f>1/AX20</f>
        <v>#N/A</v>
      </c>
      <c r="BG12" s="54" t="e">
        <f>1/AX21</f>
        <v>#N/A</v>
      </c>
      <c r="BH12" s="54" t="e">
        <f>1/AX22</f>
        <v>#N/A</v>
      </c>
      <c r="BI12" s="54" t="e">
        <f>1/AX23</f>
        <v>#N/A</v>
      </c>
      <c r="BJ12" s="54" t="e">
        <f>1/AX24</f>
        <v>#N/A</v>
      </c>
      <c r="BK12" s="54" t="e">
        <f>1/AX25</f>
        <v>#N/A</v>
      </c>
      <c r="BL12" s="54" t="e">
        <f>1/AX26</f>
        <v>#N/A</v>
      </c>
      <c r="BM12" s="54" t="e">
        <f>1/AX27</f>
        <v>#N/A</v>
      </c>
      <c r="BN12" s="54" t="e">
        <f>1/AX28</f>
        <v>#N/A</v>
      </c>
      <c r="BO12" s="54" t="e">
        <f>1/AX29</f>
        <v>#N/A</v>
      </c>
      <c r="BP12" s="54" t="e">
        <f>1/AX30</f>
        <v>#N/A</v>
      </c>
      <c r="BQ12" s="54" t="e">
        <f>1/AX31</f>
        <v>#N/A</v>
      </c>
      <c r="BR12" s="54" t="e">
        <f>1/AX32</f>
        <v>#N/A</v>
      </c>
      <c r="BS12" s="54" t="e">
        <f>1/AX33</f>
        <v>#N/A</v>
      </c>
      <c r="BT12" s="54" t="e">
        <f>1/AX34</f>
        <v>#N/A</v>
      </c>
      <c r="BU12" s="54" t="e">
        <f>1/AX35</f>
        <v>#N/A</v>
      </c>
      <c r="BV12" s="54" t="e">
        <f>1/AX36</f>
        <v>#N/A</v>
      </c>
      <c r="BW12" s="55" t="e">
        <f t="shared" si="0"/>
        <v>#N/A</v>
      </c>
      <c r="BX12" s="42"/>
      <c r="BY12" s="42"/>
      <c r="BZ12" s="42"/>
      <c r="CA12" s="42"/>
      <c r="CB12" s="42"/>
      <c r="CC12" s="42"/>
      <c r="CD12" s="42"/>
      <c r="CE12" s="42"/>
      <c r="CF12" s="42"/>
      <c r="CG12" s="42"/>
      <c r="CH12" s="42"/>
      <c r="CI12" s="42"/>
      <c r="CJ12" s="42"/>
      <c r="CK12" s="42"/>
      <c r="CL12" s="42"/>
      <c r="CM12" s="42"/>
      <c r="CN12" s="42"/>
    </row>
    <row r="13" spans="1:92" s="43" customFormat="1" ht="44.25" customHeight="1">
      <c r="A13" s="42"/>
      <c r="B13" s="46"/>
      <c r="C13" s="48"/>
      <c r="D13" s="42"/>
      <c r="E13" s="38" t="s">
        <v>356</v>
      </c>
      <c r="F13" s="10"/>
      <c r="G13" s="10"/>
      <c r="H13" s="10"/>
      <c r="I13" s="8"/>
      <c r="J13" s="8"/>
      <c r="K13" s="10"/>
      <c r="L13" s="10"/>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8" t="e">
        <f t="shared" si="1"/>
        <v>#N/A</v>
      </c>
      <c r="AL13" s="52" t="e">
        <f>RANK(AK13,$AK6:$AK36,0)</f>
        <v>#N/A</v>
      </c>
      <c r="AM13" s="47"/>
      <c r="AN13" s="42"/>
      <c r="AO13" s="42"/>
      <c r="AP13" s="42"/>
      <c r="AQ13" s="42"/>
      <c r="AR13" s="56" t="e">
        <f>VLOOKUP(F13, Table2837810[#All], 2, 0)</f>
        <v>#N/A</v>
      </c>
      <c r="AS13" s="56" t="e">
        <f>VLOOKUP(G13, Table2837810[#All], 2, 0)</f>
        <v>#N/A</v>
      </c>
      <c r="AT13" s="56" t="e">
        <f>VLOOKUP(H13, Table2837810[#All], 2, 0)</f>
        <v>#N/A</v>
      </c>
      <c r="AU13" s="56" t="e">
        <f>VLOOKUP(I13, Table2837810[#All], 2, 0)</f>
        <v>#N/A</v>
      </c>
      <c r="AV13" s="56" t="e">
        <f>VLOOKUP(J13, Table2837810[#All], 2, 0)</f>
        <v>#N/A</v>
      </c>
      <c r="AW13" s="56" t="e">
        <f>VLOOKUP(K13, Table2837810[#All], 2, 0)</f>
        <v>#N/A</v>
      </c>
      <c r="AX13" s="56" t="e">
        <f>VLOOKUP(L13, Table2837810[#All], 2, 0)</f>
        <v>#N/A</v>
      </c>
      <c r="AY13" s="66"/>
      <c r="AZ13" s="67" t="e">
        <f>1/AY14</f>
        <v>#N/A</v>
      </c>
      <c r="BA13" s="54" t="e">
        <f>1/AY15</f>
        <v>#N/A</v>
      </c>
      <c r="BB13" s="54" t="e">
        <f>1/AY16</f>
        <v>#N/A</v>
      </c>
      <c r="BC13" s="54" t="e">
        <f>1/AY17</f>
        <v>#N/A</v>
      </c>
      <c r="BD13" s="54" t="e">
        <f>1/AY18</f>
        <v>#N/A</v>
      </c>
      <c r="BE13" s="54" t="e">
        <f>1/AY19</f>
        <v>#N/A</v>
      </c>
      <c r="BF13" s="54" t="e">
        <f>1/AY20</f>
        <v>#N/A</v>
      </c>
      <c r="BG13" s="54" t="e">
        <f>1/AY21</f>
        <v>#N/A</v>
      </c>
      <c r="BH13" s="54" t="e">
        <f>1/AY22</f>
        <v>#N/A</v>
      </c>
      <c r="BI13" s="54" t="e">
        <f>1/AY23</f>
        <v>#N/A</v>
      </c>
      <c r="BJ13" s="54" t="e">
        <f>1/AY24</f>
        <v>#N/A</v>
      </c>
      <c r="BK13" s="54" t="e">
        <f>1/AY25</f>
        <v>#N/A</v>
      </c>
      <c r="BL13" s="54" t="e">
        <f>1/AY26</f>
        <v>#N/A</v>
      </c>
      <c r="BM13" s="54" t="e">
        <f>1/AY27</f>
        <v>#N/A</v>
      </c>
      <c r="BN13" s="54" t="e">
        <f>1/AY28</f>
        <v>#N/A</v>
      </c>
      <c r="BO13" s="54" t="e">
        <f>1/AY29</f>
        <v>#N/A</v>
      </c>
      <c r="BP13" s="54" t="e">
        <f>1/AY30</f>
        <v>#N/A</v>
      </c>
      <c r="BQ13" s="54" t="e">
        <f>1/AY31</f>
        <v>#N/A</v>
      </c>
      <c r="BR13" s="54" t="e">
        <f>1/AY32</f>
        <v>#N/A</v>
      </c>
      <c r="BS13" s="54" t="e">
        <f>1/AY33</f>
        <v>#N/A</v>
      </c>
      <c r="BT13" s="54" t="e">
        <f>1/AY34</f>
        <v>#N/A</v>
      </c>
      <c r="BU13" s="54" t="e">
        <f>1/AY35</f>
        <v>#N/A</v>
      </c>
      <c r="BV13" s="54" t="e">
        <f>1/AY36</f>
        <v>#N/A</v>
      </c>
      <c r="BW13" s="55" t="e">
        <f t="shared" si="0"/>
        <v>#N/A</v>
      </c>
      <c r="BX13" s="42"/>
      <c r="BY13" s="42"/>
      <c r="BZ13" s="42"/>
      <c r="CA13" s="42"/>
      <c r="CB13" s="42"/>
      <c r="CC13" s="42"/>
      <c r="CD13" s="42"/>
      <c r="CE13" s="42"/>
      <c r="CF13" s="42"/>
      <c r="CG13" s="42"/>
      <c r="CH13" s="42"/>
      <c r="CI13" s="42"/>
      <c r="CJ13" s="42"/>
      <c r="CK13" s="42"/>
      <c r="CL13" s="42"/>
      <c r="CM13" s="42"/>
      <c r="CN13" s="42"/>
    </row>
    <row r="14" spans="1:92" s="43" customFormat="1" ht="57" customHeight="1">
      <c r="A14" s="42"/>
      <c r="B14" s="46"/>
      <c r="C14" s="48"/>
      <c r="D14" s="42"/>
      <c r="E14" s="38" t="s">
        <v>357</v>
      </c>
      <c r="F14" s="8"/>
      <c r="G14" s="8"/>
      <c r="H14" s="10"/>
      <c r="I14" s="8"/>
      <c r="J14" s="8"/>
      <c r="K14" s="8"/>
      <c r="L14" s="10"/>
      <c r="M14" s="10"/>
      <c r="N14" s="12"/>
      <c r="O14" s="12"/>
      <c r="P14" s="12"/>
      <c r="Q14" s="12"/>
      <c r="R14" s="12"/>
      <c r="S14" s="12"/>
      <c r="T14" s="12"/>
      <c r="U14" s="12"/>
      <c r="V14" s="12"/>
      <c r="W14" s="12"/>
      <c r="X14" s="12"/>
      <c r="Y14" s="12"/>
      <c r="Z14" s="12"/>
      <c r="AA14" s="12"/>
      <c r="AB14" s="12"/>
      <c r="AC14" s="12"/>
      <c r="AD14" s="12"/>
      <c r="AE14" s="12"/>
      <c r="AF14" s="12"/>
      <c r="AG14" s="12"/>
      <c r="AH14" s="12"/>
      <c r="AI14" s="12"/>
      <c r="AJ14" s="12"/>
      <c r="AK14" s="8" t="e">
        <f t="shared" si="1"/>
        <v>#N/A</v>
      </c>
      <c r="AL14" s="52" t="e">
        <f>RANK(AK14,$AK6:$AK36,0)</f>
        <v>#N/A</v>
      </c>
      <c r="AM14" s="47"/>
      <c r="AN14" s="42"/>
      <c r="AO14" s="42"/>
      <c r="AP14" s="42"/>
      <c r="AQ14" s="42"/>
      <c r="AR14" s="56" t="e">
        <f>VLOOKUP(F14, Table2837810[#All], 2, 0)</f>
        <v>#N/A</v>
      </c>
      <c r="AS14" s="56" t="e">
        <f>VLOOKUP(G14, Table2837810[#All], 2, 0)</f>
        <v>#N/A</v>
      </c>
      <c r="AT14" s="56" t="e">
        <f>VLOOKUP(H14, Table2837810[#All], 2, 0)</f>
        <v>#N/A</v>
      </c>
      <c r="AU14" s="56" t="e">
        <f>VLOOKUP(I14, Table2837810[#All], 2, 0)</f>
        <v>#N/A</v>
      </c>
      <c r="AV14" s="56" t="e">
        <f>VLOOKUP(J14, Table2837810[#All], 2, 0)</f>
        <v>#N/A</v>
      </c>
      <c r="AW14" s="56" t="e">
        <f>VLOOKUP(K14, Table2837810[#All], 2, 0)</f>
        <v>#N/A</v>
      </c>
      <c r="AX14" s="56" t="e">
        <f>VLOOKUP(L14, Table2837810[#All], 2, 0)</f>
        <v>#N/A</v>
      </c>
      <c r="AY14" s="56" t="e">
        <f>VLOOKUP(M14, Table2837810[#All], 2, 0)</f>
        <v>#N/A</v>
      </c>
      <c r="AZ14" s="66"/>
      <c r="BA14" s="54" t="e">
        <f>1/AZ15</f>
        <v>#N/A</v>
      </c>
      <c r="BB14" s="54" t="e">
        <f>1/AZ16</f>
        <v>#N/A</v>
      </c>
      <c r="BC14" s="54" t="e">
        <f>1/AZ17</f>
        <v>#N/A</v>
      </c>
      <c r="BD14" s="54" t="e">
        <f>1/AZ18</f>
        <v>#N/A</v>
      </c>
      <c r="BE14" s="54" t="e">
        <f>1/AZ19</f>
        <v>#N/A</v>
      </c>
      <c r="BF14" s="54" t="e">
        <f>1/AZ20</f>
        <v>#N/A</v>
      </c>
      <c r="BG14" s="54" t="e">
        <f>1/AZ21</f>
        <v>#N/A</v>
      </c>
      <c r="BH14" s="54" t="e">
        <f>1/AZ22</f>
        <v>#N/A</v>
      </c>
      <c r="BI14" s="54" t="e">
        <f>1/AZ23</f>
        <v>#N/A</v>
      </c>
      <c r="BJ14" s="54" t="e">
        <f>1/AZ24</f>
        <v>#N/A</v>
      </c>
      <c r="BK14" s="54" t="e">
        <f>1/AZ25</f>
        <v>#N/A</v>
      </c>
      <c r="BL14" s="54" t="e">
        <f>1/AZ26</f>
        <v>#N/A</v>
      </c>
      <c r="BM14" s="54" t="e">
        <f>1/AZ27</f>
        <v>#N/A</v>
      </c>
      <c r="BN14" s="54" t="e">
        <f>1/AZ28</f>
        <v>#N/A</v>
      </c>
      <c r="BO14" s="54" t="e">
        <f>1/AZ29</f>
        <v>#N/A</v>
      </c>
      <c r="BP14" s="54" t="e">
        <f>1/AZ30</f>
        <v>#N/A</v>
      </c>
      <c r="BQ14" s="54" t="e">
        <f>1/AZ31</f>
        <v>#N/A</v>
      </c>
      <c r="BR14" s="54" t="e">
        <f>1/AZ32</f>
        <v>#N/A</v>
      </c>
      <c r="BS14" s="54" t="e">
        <f>1/AZ33</f>
        <v>#N/A</v>
      </c>
      <c r="BT14" s="54" t="e">
        <f>1/AZ34</f>
        <v>#N/A</v>
      </c>
      <c r="BU14" s="54" t="e">
        <f>1/AZ35</f>
        <v>#N/A</v>
      </c>
      <c r="BV14" s="54" t="e">
        <f>1/AZ36</f>
        <v>#N/A</v>
      </c>
      <c r="BW14" s="55" t="e">
        <f t="shared" si="0"/>
        <v>#N/A</v>
      </c>
      <c r="BX14" s="42"/>
      <c r="BY14" s="42"/>
      <c r="BZ14" s="42"/>
      <c r="CA14" s="42"/>
      <c r="CB14" s="42"/>
      <c r="CC14" s="42"/>
      <c r="CD14" s="42"/>
      <c r="CE14" s="42"/>
      <c r="CF14" s="42"/>
      <c r="CG14" s="42"/>
      <c r="CH14" s="42"/>
      <c r="CI14" s="42"/>
      <c r="CJ14" s="42"/>
      <c r="CK14" s="42"/>
      <c r="CL14" s="42"/>
      <c r="CM14" s="42"/>
      <c r="CN14" s="42"/>
    </row>
    <row r="15" spans="1:92" s="43" customFormat="1" ht="56.45" customHeight="1" thickBot="1">
      <c r="A15" s="42"/>
      <c r="B15" s="46"/>
      <c r="C15" s="61"/>
      <c r="D15" s="42"/>
      <c r="E15" s="38" t="s">
        <v>146</v>
      </c>
      <c r="F15" s="10"/>
      <c r="G15" s="10"/>
      <c r="H15" s="8"/>
      <c r="I15" s="10"/>
      <c r="J15" s="8"/>
      <c r="K15" s="10"/>
      <c r="L15" s="8"/>
      <c r="M15" s="10"/>
      <c r="N15" s="8"/>
      <c r="O15" s="12"/>
      <c r="P15" s="12"/>
      <c r="Q15" s="12"/>
      <c r="R15" s="12"/>
      <c r="S15" s="12"/>
      <c r="T15" s="12"/>
      <c r="U15" s="12"/>
      <c r="V15" s="12"/>
      <c r="W15" s="12"/>
      <c r="X15" s="12"/>
      <c r="Y15" s="12"/>
      <c r="Z15" s="12"/>
      <c r="AA15" s="12"/>
      <c r="AB15" s="12"/>
      <c r="AC15" s="12"/>
      <c r="AD15" s="12"/>
      <c r="AE15" s="12"/>
      <c r="AF15" s="12"/>
      <c r="AG15" s="12"/>
      <c r="AH15" s="12"/>
      <c r="AI15" s="12"/>
      <c r="AJ15" s="12"/>
      <c r="AK15" s="8" t="e">
        <f t="shared" si="1"/>
        <v>#N/A</v>
      </c>
      <c r="AL15" s="52" t="e">
        <f>RANK(AK15,$AK6:$AK36,0)</f>
        <v>#N/A</v>
      </c>
      <c r="AM15" s="47"/>
      <c r="AN15" s="42"/>
      <c r="AO15" s="42"/>
      <c r="AP15" s="42"/>
      <c r="AQ15" s="42"/>
      <c r="AR15" s="56" t="e">
        <f>VLOOKUP(F15, Table2837810[#All], 2, 0)</f>
        <v>#N/A</v>
      </c>
      <c r="AS15" s="56" t="e">
        <f>VLOOKUP(G15, Table2837810[#All], 2, 0)</f>
        <v>#N/A</v>
      </c>
      <c r="AT15" s="56" t="e">
        <f>VLOOKUP(H15, Table2837810[#All], 2, 0)</f>
        <v>#N/A</v>
      </c>
      <c r="AU15" s="56" t="e">
        <f>VLOOKUP(I15, Table2837810[#All], 2, 0)</f>
        <v>#N/A</v>
      </c>
      <c r="AV15" s="56" t="e">
        <f>VLOOKUP(J15, Table2837810[#All], 2, 0)</f>
        <v>#N/A</v>
      </c>
      <c r="AW15" s="56" t="e">
        <f>VLOOKUP(K15, Table2837810[#All], 2, 0)</f>
        <v>#N/A</v>
      </c>
      <c r="AX15" s="56" t="e">
        <f>VLOOKUP(L15, Table2837810[#All], 2, 0)</f>
        <v>#N/A</v>
      </c>
      <c r="AY15" s="56" t="e">
        <f>VLOOKUP(M15, Table2837810[#All], 2, 0)</f>
        <v>#N/A</v>
      </c>
      <c r="AZ15" s="56" t="e">
        <f>VLOOKUP(N15, Table2837810[#All], 2, 0)</f>
        <v>#N/A</v>
      </c>
      <c r="BA15" s="58"/>
      <c r="BB15" s="54" t="e">
        <f>1/BA16</f>
        <v>#N/A</v>
      </c>
      <c r="BC15" s="54" t="e">
        <f>1/BA17</f>
        <v>#N/A</v>
      </c>
      <c r="BD15" s="54" t="e">
        <f>1/BA18</f>
        <v>#N/A</v>
      </c>
      <c r="BE15" s="54" t="e">
        <f>1/BA19</f>
        <v>#N/A</v>
      </c>
      <c r="BF15" s="54" t="e">
        <f>1/BA20</f>
        <v>#N/A</v>
      </c>
      <c r="BG15" s="54" t="e">
        <f>1/BA21</f>
        <v>#N/A</v>
      </c>
      <c r="BH15" s="54" t="e">
        <f>1/BA22</f>
        <v>#N/A</v>
      </c>
      <c r="BI15" s="54" t="e">
        <f>1/BA23</f>
        <v>#N/A</v>
      </c>
      <c r="BJ15" s="54" t="e">
        <f>1/BA24</f>
        <v>#N/A</v>
      </c>
      <c r="BK15" s="54" t="e">
        <f>1/BA25</f>
        <v>#N/A</v>
      </c>
      <c r="BL15" s="54" t="e">
        <f>1/BA26</f>
        <v>#N/A</v>
      </c>
      <c r="BM15" s="54" t="e">
        <f>1/BA27</f>
        <v>#N/A</v>
      </c>
      <c r="BN15" s="54" t="e">
        <f>1/BA28</f>
        <v>#N/A</v>
      </c>
      <c r="BO15" s="54" t="e">
        <f>1/BA29</f>
        <v>#N/A</v>
      </c>
      <c r="BP15" s="54" t="e">
        <f>1/BA30</f>
        <v>#N/A</v>
      </c>
      <c r="BQ15" s="54" t="e">
        <f>1/BA31</f>
        <v>#N/A</v>
      </c>
      <c r="BR15" s="54" t="e">
        <f>1/BA32</f>
        <v>#N/A</v>
      </c>
      <c r="BS15" s="54" t="e">
        <f>1/BA33</f>
        <v>#N/A</v>
      </c>
      <c r="BT15" s="54" t="e">
        <f>1/BA34</f>
        <v>#N/A</v>
      </c>
      <c r="BU15" s="54" t="e">
        <f>1/BA35</f>
        <v>#N/A</v>
      </c>
      <c r="BV15" s="54" t="e">
        <f>1/BA36</f>
        <v>#N/A</v>
      </c>
      <c r="BW15" s="55" t="e">
        <f t="shared" si="0"/>
        <v>#N/A</v>
      </c>
      <c r="BX15" s="42"/>
      <c r="BY15" s="42"/>
      <c r="BZ15" s="42"/>
      <c r="CA15" s="42"/>
      <c r="CB15" s="42"/>
      <c r="CC15" s="42"/>
      <c r="CD15" s="42"/>
      <c r="CE15" s="42"/>
      <c r="CF15" s="42"/>
      <c r="CG15" s="42"/>
      <c r="CH15" s="42"/>
      <c r="CI15" s="42"/>
      <c r="CJ15" s="42"/>
      <c r="CK15" s="42"/>
      <c r="CL15" s="42"/>
      <c r="CM15" s="42"/>
      <c r="CN15" s="42"/>
    </row>
    <row r="16" spans="1:92" s="43" customFormat="1" ht="49.9" customHeight="1">
      <c r="A16" s="42"/>
      <c r="B16" s="46"/>
      <c r="C16" s="69"/>
      <c r="D16" s="42"/>
      <c r="E16" s="38" t="s">
        <v>358</v>
      </c>
      <c r="F16" s="8"/>
      <c r="G16" s="10"/>
      <c r="H16" s="10"/>
      <c r="I16" s="8"/>
      <c r="J16" s="8"/>
      <c r="K16" s="8"/>
      <c r="L16" s="10"/>
      <c r="M16" s="8"/>
      <c r="N16" s="8"/>
      <c r="O16" s="8"/>
      <c r="P16" s="12"/>
      <c r="Q16" s="12"/>
      <c r="R16" s="12"/>
      <c r="S16" s="12"/>
      <c r="T16" s="12"/>
      <c r="U16" s="12"/>
      <c r="V16" s="12"/>
      <c r="W16" s="12"/>
      <c r="X16" s="12"/>
      <c r="Y16" s="12"/>
      <c r="Z16" s="12"/>
      <c r="AA16" s="12"/>
      <c r="AB16" s="12"/>
      <c r="AC16" s="12"/>
      <c r="AD16" s="12"/>
      <c r="AE16" s="12"/>
      <c r="AF16" s="12"/>
      <c r="AG16" s="12"/>
      <c r="AH16" s="12"/>
      <c r="AI16" s="12"/>
      <c r="AJ16" s="12"/>
      <c r="AK16" s="8" t="e">
        <f t="shared" si="1"/>
        <v>#N/A</v>
      </c>
      <c r="AL16" s="52" t="e">
        <f>RANK(AK16,$AK6:$AK36,0)</f>
        <v>#N/A</v>
      </c>
      <c r="AM16" s="47"/>
      <c r="AN16" s="42"/>
      <c r="AO16" s="42"/>
      <c r="AP16" s="42"/>
      <c r="AQ16" s="42"/>
      <c r="AR16" s="56" t="e">
        <f>VLOOKUP(F16, Table2837810[#All], 2, 0)</f>
        <v>#N/A</v>
      </c>
      <c r="AS16" s="56" t="e">
        <f>VLOOKUP(G16, Table2837810[#All], 2, 0)</f>
        <v>#N/A</v>
      </c>
      <c r="AT16" s="56" t="e">
        <f>VLOOKUP(H16, Table2837810[#All], 2, 0)</f>
        <v>#N/A</v>
      </c>
      <c r="AU16" s="56" t="e">
        <f>VLOOKUP(I16, Table2837810[#All], 2, 0)</f>
        <v>#N/A</v>
      </c>
      <c r="AV16" s="56" t="e">
        <f>VLOOKUP(J16, Table2837810[#All], 2, 0)</f>
        <v>#N/A</v>
      </c>
      <c r="AW16" s="56" t="e">
        <f>VLOOKUP(K16, Table2837810[#All], 2, 0)</f>
        <v>#N/A</v>
      </c>
      <c r="AX16" s="56" t="e">
        <f>VLOOKUP(L16, Table2837810[#All], 2, 0)</f>
        <v>#N/A</v>
      </c>
      <c r="AY16" s="56" t="e">
        <f>VLOOKUP(M16, Table2837810[#All], 2, 0)</f>
        <v>#N/A</v>
      </c>
      <c r="AZ16" s="56" t="e">
        <f>VLOOKUP(N16, Table2837810[#All], 2, 0)</f>
        <v>#N/A</v>
      </c>
      <c r="BA16" s="56" t="e">
        <f>VLOOKUP(O16, Table2837810[#All], 2, 0)</f>
        <v>#N/A</v>
      </c>
      <c r="BB16" s="58"/>
      <c r="BC16" s="54" t="e">
        <f>1/BB17</f>
        <v>#N/A</v>
      </c>
      <c r="BD16" s="54" t="e">
        <f>1/BB18</f>
        <v>#N/A</v>
      </c>
      <c r="BE16" s="54" t="e">
        <f>1/BB19</f>
        <v>#N/A</v>
      </c>
      <c r="BF16" s="54" t="e">
        <f>1/BB20</f>
        <v>#N/A</v>
      </c>
      <c r="BG16" s="54" t="e">
        <f>1/BB21</f>
        <v>#N/A</v>
      </c>
      <c r="BH16" s="54" t="e">
        <f>1/BB22</f>
        <v>#N/A</v>
      </c>
      <c r="BI16" s="54" t="e">
        <f>1/BB23</f>
        <v>#N/A</v>
      </c>
      <c r="BJ16" s="54" t="e">
        <f>1/BB24</f>
        <v>#N/A</v>
      </c>
      <c r="BK16" s="54" t="e">
        <f>1/BB25</f>
        <v>#N/A</v>
      </c>
      <c r="BL16" s="54" t="e">
        <f>1/BB26</f>
        <v>#N/A</v>
      </c>
      <c r="BM16" s="54" t="e">
        <f>1/BB27</f>
        <v>#N/A</v>
      </c>
      <c r="BN16" s="54" t="e">
        <f>1/BB28</f>
        <v>#N/A</v>
      </c>
      <c r="BO16" s="54" t="e">
        <f>1/BB29</f>
        <v>#N/A</v>
      </c>
      <c r="BP16" s="54" t="e">
        <f>1/BB30</f>
        <v>#N/A</v>
      </c>
      <c r="BQ16" s="54" t="e">
        <f>1/BB31</f>
        <v>#N/A</v>
      </c>
      <c r="BR16" s="54" t="e">
        <f>1/BB32</f>
        <v>#N/A</v>
      </c>
      <c r="BS16" s="54" t="e">
        <f>1/BB33</f>
        <v>#N/A</v>
      </c>
      <c r="BT16" s="54" t="e">
        <f>1/BB34</f>
        <v>#N/A</v>
      </c>
      <c r="BU16" s="54" t="e">
        <f>1/BB35</f>
        <v>#N/A</v>
      </c>
      <c r="BV16" s="54" t="e">
        <f>1/BB36</f>
        <v>#N/A</v>
      </c>
      <c r="BW16" s="55" t="e">
        <f t="shared" si="0"/>
        <v>#N/A</v>
      </c>
      <c r="BX16" s="42"/>
      <c r="BY16" s="42"/>
      <c r="BZ16" s="42"/>
      <c r="CA16" s="42"/>
      <c r="CB16" s="42"/>
      <c r="CC16" s="42"/>
      <c r="CD16" s="42"/>
      <c r="CE16" s="42"/>
      <c r="CF16" s="42"/>
      <c r="CG16" s="42"/>
      <c r="CH16" s="42"/>
      <c r="CI16" s="42"/>
      <c r="CJ16" s="42"/>
      <c r="CK16" s="42"/>
      <c r="CL16" s="42"/>
      <c r="CM16" s="42"/>
      <c r="CN16" s="42"/>
    </row>
    <row r="17" spans="1:92" s="43" customFormat="1" ht="52.5" customHeight="1">
      <c r="A17" s="42"/>
      <c r="B17" s="46"/>
      <c r="C17" s="69"/>
      <c r="D17" s="42"/>
      <c r="E17" s="38" t="s">
        <v>359</v>
      </c>
      <c r="F17" s="8"/>
      <c r="G17" s="8"/>
      <c r="H17" s="8"/>
      <c r="I17" s="8"/>
      <c r="J17" s="8"/>
      <c r="K17" s="10"/>
      <c r="L17" s="10"/>
      <c r="M17" s="10"/>
      <c r="N17" s="10"/>
      <c r="O17" s="8"/>
      <c r="P17" s="8"/>
      <c r="Q17" s="9"/>
      <c r="R17" s="9"/>
      <c r="S17" s="9"/>
      <c r="T17" s="9"/>
      <c r="U17" s="12"/>
      <c r="V17" s="12"/>
      <c r="W17" s="12"/>
      <c r="X17" s="12"/>
      <c r="Y17" s="12"/>
      <c r="Z17" s="12"/>
      <c r="AA17" s="12"/>
      <c r="AB17" s="12"/>
      <c r="AC17" s="12"/>
      <c r="AD17" s="12"/>
      <c r="AE17" s="12"/>
      <c r="AF17" s="12"/>
      <c r="AG17" s="12"/>
      <c r="AH17" s="12"/>
      <c r="AI17" s="12"/>
      <c r="AJ17" s="12"/>
      <c r="AK17" s="8" t="e">
        <f t="shared" si="1"/>
        <v>#N/A</v>
      </c>
      <c r="AL17" s="52" t="e">
        <f>RANK(AK17,$AK6:$AK36,0)</f>
        <v>#N/A</v>
      </c>
      <c r="AM17" s="47"/>
      <c r="AN17" s="42"/>
      <c r="AO17" s="42"/>
      <c r="AP17" s="42"/>
      <c r="AQ17" s="42"/>
      <c r="AR17" s="56" t="e">
        <f>VLOOKUP(F17, Table2837810[#All], 2, 0)</f>
        <v>#N/A</v>
      </c>
      <c r="AS17" s="56" t="e">
        <f>VLOOKUP(G17, Table2837810[#All], 2, 0)</f>
        <v>#N/A</v>
      </c>
      <c r="AT17" s="56" t="e">
        <f>VLOOKUP(H17, Table2837810[#All], 2, 0)</f>
        <v>#N/A</v>
      </c>
      <c r="AU17" s="56" t="e">
        <f>VLOOKUP(I17, Table2837810[#All], 2, 0)</f>
        <v>#N/A</v>
      </c>
      <c r="AV17" s="56" t="e">
        <f>VLOOKUP(J17, Table2837810[#All], 2, 0)</f>
        <v>#N/A</v>
      </c>
      <c r="AW17" s="56" t="e">
        <f>VLOOKUP(K17, Table2837810[#All], 2, 0)</f>
        <v>#N/A</v>
      </c>
      <c r="AX17" s="56" t="e">
        <f>VLOOKUP(L17, Table2837810[#All], 2, 0)</f>
        <v>#N/A</v>
      </c>
      <c r="AY17" s="56" t="e">
        <f>VLOOKUP(M17, Table2837810[#All], 2, 0)</f>
        <v>#N/A</v>
      </c>
      <c r="AZ17" s="56" t="e">
        <f>VLOOKUP(N17, Table2837810[#All], 2, 0)</f>
        <v>#N/A</v>
      </c>
      <c r="BA17" s="56" t="e">
        <f>VLOOKUP(O17, Table2837810[#All], 2, 0)</f>
        <v>#N/A</v>
      </c>
      <c r="BB17" s="56" t="e">
        <f>VLOOKUP(P17, Table2837810[#All], 2, 0)</f>
        <v>#N/A</v>
      </c>
      <c r="BC17" s="58"/>
      <c r="BD17" s="68" t="e">
        <f>1/BC18</f>
        <v>#N/A</v>
      </c>
      <c r="BE17" s="68" t="e">
        <f>1/BC19</f>
        <v>#N/A</v>
      </c>
      <c r="BF17" s="68" t="e">
        <f>1/BC20</f>
        <v>#N/A</v>
      </c>
      <c r="BG17" s="68" t="e">
        <f>1/BC21</f>
        <v>#N/A</v>
      </c>
      <c r="BH17" s="68" t="e">
        <f>1/BC22</f>
        <v>#N/A</v>
      </c>
      <c r="BI17" s="68" t="e">
        <f>1/BC23</f>
        <v>#N/A</v>
      </c>
      <c r="BJ17" s="68" t="e">
        <f>1/BC24</f>
        <v>#N/A</v>
      </c>
      <c r="BK17" s="68" t="e">
        <f>1/BC25</f>
        <v>#N/A</v>
      </c>
      <c r="BL17" s="68" t="e">
        <f>1/BC26</f>
        <v>#N/A</v>
      </c>
      <c r="BM17" s="68" t="e">
        <f>1/BC27</f>
        <v>#N/A</v>
      </c>
      <c r="BN17" s="68" t="e">
        <f>1/BC28</f>
        <v>#N/A</v>
      </c>
      <c r="BO17" s="68" t="e">
        <f>1/BC29</f>
        <v>#N/A</v>
      </c>
      <c r="BP17" s="68" t="e">
        <f>1/BC30</f>
        <v>#N/A</v>
      </c>
      <c r="BQ17" s="68" t="e">
        <f>1/BC31</f>
        <v>#N/A</v>
      </c>
      <c r="BR17" s="68" t="e">
        <f>1/BC32</f>
        <v>#N/A</v>
      </c>
      <c r="BS17" s="68" t="e">
        <f>1/BC33</f>
        <v>#N/A</v>
      </c>
      <c r="BT17" s="68" t="e">
        <f>1/BC34</f>
        <v>#N/A</v>
      </c>
      <c r="BU17" s="68" t="e">
        <f>1/BC35</f>
        <v>#N/A</v>
      </c>
      <c r="BV17" s="68" t="e">
        <f>1/BC36</f>
        <v>#N/A</v>
      </c>
      <c r="BW17" s="55" t="e">
        <f t="shared" si="0"/>
        <v>#N/A</v>
      </c>
      <c r="BX17" s="42"/>
      <c r="BY17" s="42"/>
      <c r="BZ17" s="42"/>
      <c r="CA17" s="42"/>
      <c r="CB17" s="42"/>
      <c r="CC17" s="42"/>
      <c r="CD17" s="42"/>
      <c r="CE17" s="42"/>
      <c r="CF17" s="42"/>
      <c r="CG17" s="42"/>
      <c r="CH17" s="42"/>
      <c r="CI17" s="42"/>
      <c r="CJ17" s="42"/>
      <c r="CK17" s="42"/>
      <c r="CL17" s="42"/>
      <c r="CM17" s="42"/>
      <c r="CN17" s="42"/>
    </row>
    <row r="18" spans="1:92" s="43" customFormat="1" ht="39.950000000000003" customHeight="1">
      <c r="A18" s="42"/>
      <c r="B18" s="46"/>
      <c r="C18" s="42"/>
      <c r="D18" s="42"/>
      <c r="E18" s="38" t="s">
        <v>360</v>
      </c>
      <c r="F18" s="26"/>
      <c r="G18" s="26"/>
      <c r="H18" s="26"/>
      <c r="I18" s="26"/>
      <c r="J18" s="26"/>
      <c r="K18" s="26"/>
      <c r="L18" s="26"/>
      <c r="M18" s="26"/>
      <c r="N18" s="26"/>
      <c r="O18" s="26"/>
      <c r="P18" s="26"/>
      <c r="Q18" s="26"/>
      <c r="R18" s="12"/>
      <c r="S18" s="12"/>
      <c r="T18" s="12"/>
      <c r="U18" s="12"/>
      <c r="V18" s="12"/>
      <c r="W18" s="12"/>
      <c r="X18" s="12"/>
      <c r="Y18" s="12"/>
      <c r="Z18" s="12"/>
      <c r="AA18" s="12"/>
      <c r="AB18" s="12"/>
      <c r="AC18" s="12"/>
      <c r="AD18" s="12"/>
      <c r="AE18" s="12"/>
      <c r="AF18" s="12"/>
      <c r="AG18" s="12"/>
      <c r="AH18" s="12"/>
      <c r="AI18" s="12"/>
      <c r="AJ18" s="12"/>
      <c r="AK18" s="8" t="e">
        <f t="shared" si="1"/>
        <v>#N/A</v>
      </c>
      <c r="AL18" s="52" t="e">
        <f>RANK(AK18,$AK6:$AK36,0)</f>
        <v>#N/A</v>
      </c>
      <c r="AM18" s="47"/>
      <c r="AN18" s="42"/>
      <c r="AO18" s="42"/>
      <c r="AP18" s="42"/>
      <c r="AQ18" s="42"/>
      <c r="AR18" s="56" t="e">
        <f>VLOOKUP(F18, Table2837810[#All], 2, 0)</f>
        <v>#N/A</v>
      </c>
      <c r="AS18" s="56" t="e">
        <f>VLOOKUP(G18, Table2837810[#All], 2, 0)</f>
        <v>#N/A</v>
      </c>
      <c r="AT18" s="56" t="e">
        <f>VLOOKUP(H18, Table2837810[#All], 2, 0)</f>
        <v>#N/A</v>
      </c>
      <c r="AU18" s="56" t="e">
        <f>VLOOKUP(I18, Table2837810[#All], 2, 0)</f>
        <v>#N/A</v>
      </c>
      <c r="AV18" s="56" t="e">
        <f>VLOOKUP(J18, Table2837810[#All], 2, 0)</f>
        <v>#N/A</v>
      </c>
      <c r="AW18" s="56" t="e">
        <f>VLOOKUP(K18, Table2837810[#All], 2, 0)</f>
        <v>#N/A</v>
      </c>
      <c r="AX18" s="56" t="e">
        <f>VLOOKUP(L18, Table2837810[#All], 2, 0)</f>
        <v>#N/A</v>
      </c>
      <c r="AY18" s="56" t="e">
        <f>VLOOKUP(M18, Table2837810[#All], 2, 0)</f>
        <v>#N/A</v>
      </c>
      <c r="AZ18" s="56" t="e">
        <f>VLOOKUP(N18, Table2837810[#All], 2, 0)</f>
        <v>#N/A</v>
      </c>
      <c r="BA18" s="56" t="e">
        <f>VLOOKUP(O18, Table2837810[#All], 2, 0)</f>
        <v>#N/A</v>
      </c>
      <c r="BB18" s="56" t="e">
        <f>VLOOKUP(P18, Table2837810[#All], 2, 0)</f>
        <v>#N/A</v>
      </c>
      <c r="BC18" s="56" t="e">
        <f>VLOOKUP(Q18, Table2837810[#All], 2, 0)</f>
        <v>#N/A</v>
      </c>
      <c r="BD18" s="58"/>
      <c r="BE18" s="68" t="e">
        <f>1/BD19</f>
        <v>#N/A</v>
      </c>
      <c r="BF18" s="68" t="e">
        <f>1/BD20</f>
        <v>#N/A</v>
      </c>
      <c r="BG18" s="68" t="e">
        <f>1/BD21</f>
        <v>#N/A</v>
      </c>
      <c r="BH18" s="68" t="e">
        <f>1/BD22</f>
        <v>#N/A</v>
      </c>
      <c r="BI18" s="68" t="e">
        <f>1/BD23</f>
        <v>#N/A</v>
      </c>
      <c r="BJ18" s="68" t="e">
        <f>1/BD24</f>
        <v>#N/A</v>
      </c>
      <c r="BK18" s="68" t="e">
        <f>1/BD25</f>
        <v>#N/A</v>
      </c>
      <c r="BL18" s="68" t="e">
        <f>1/BD26</f>
        <v>#N/A</v>
      </c>
      <c r="BM18" s="68" t="e">
        <f>1/BD27</f>
        <v>#N/A</v>
      </c>
      <c r="BN18" s="68" t="e">
        <f>1/BD28</f>
        <v>#N/A</v>
      </c>
      <c r="BO18" s="68" t="e">
        <f>1/BD29</f>
        <v>#N/A</v>
      </c>
      <c r="BP18" s="68" t="e">
        <f>1/BD30</f>
        <v>#N/A</v>
      </c>
      <c r="BQ18" s="68" t="e">
        <f>1/BD31</f>
        <v>#N/A</v>
      </c>
      <c r="BR18" s="68" t="e">
        <f>1/BD32</f>
        <v>#N/A</v>
      </c>
      <c r="BS18" s="68" t="e">
        <f>1/BD33</f>
        <v>#N/A</v>
      </c>
      <c r="BT18" s="68" t="e">
        <f>1/BD34</f>
        <v>#N/A</v>
      </c>
      <c r="BU18" s="68" t="e">
        <f>1/BD35</f>
        <v>#N/A</v>
      </c>
      <c r="BV18" s="68" t="e">
        <f>1/BD36</f>
        <v>#N/A</v>
      </c>
      <c r="BW18" s="55" t="e">
        <f t="shared" si="0"/>
        <v>#N/A</v>
      </c>
      <c r="BX18" s="42"/>
      <c r="BY18" s="42"/>
      <c r="BZ18" s="42"/>
      <c r="CA18" s="42"/>
      <c r="CB18" s="42"/>
      <c r="CC18" s="42"/>
      <c r="CD18" s="42"/>
      <c r="CE18" s="42"/>
      <c r="CF18" s="42"/>
      <c r="CG18" s="42"/>
      <c r="CH18" s="42"/>
      <c r="CI18" s="42"/>
      <c r="CJ18" s="42"/>
      <c r="CK18" s="42"/>
      <c r="CL18" s="42"/>
      <c r="CM18" s="42"/>
      <c r="CN18" s="42"/>
    </row>
    <row r="19" spans="1:92" s="43" customFormat="1" ht="55.5" customHeight="1">
      <c r="A19" s="42"/>
      <c r="B19" s="46"/>
      <c r="C19" s="42"/>
      <c r="D19" s="42"/>
      <c r="E19" s="38" t="s">
        <v>361</v>
      </c>
      <c r="F19" s="26"/>
      <c r="G19" s="26"/>
      <c r="H19" s="26"/>
      <c r="I19" s="26"/>
      <c r="J19" s="26"/>
      <c r="K19" s="26"/>
      <c r="L19" s="26"/>
      <c r="M19" s="26"/>
      <c r="N19" s="26"/>
      <c r="O19" s="26"/>
      <c r="P19" s="26"/>
      <c r="Q19" s="26"/>
      <c r="R19" s="26"/>
      <c r="S19" s="12"/>
      <c r="T19" s="12"/>
      <c r="U19" s="12"/>
      <c r="V19" s="12"/>
      <c r="W19" s="12"/>
      <c r="X19" s="12"/>
      <c r="Y19" s="12"/>
      <c r="Z19" s="12"/>
      <c r="AA19" s="12"/>
      <c r="AB19" s="12"/>
      <c r="AC19" s="12"/>
      <c r="AD19" s="12"/>
      <c r="AE19" s="12"/>
      <c r="AF19" s="12"/>
      <c r="AG19" s="12"/>
      <c r="AH19" s="12"/>
      <c r="AI19" s="12"/>
      <c r="AJ19" s="12"/>
      <c r="AK19" s="8" t="e">
        <f t="shared" si="1"/>
        <v>#N/A</v>
      </c>
      <c r="AL19" s="52" t="e">
        <f>RANK(AK19,$AK6:$AK36,0)</f>
        <v>#N/A</v>
      </c>
      <c r="AM19" s="47"/>
      <c r="AN19" s="42"/>
      <c r="AO19" s="42"/>
      <c r="AP19" s="42"/>
      <c r="AQ19" s="42"/>
      <c r="AR19" s="56" t="e">
        <f>VLOOKUP(F19, Table2837810[#All], 2, 0)</f>
        <v>#N/A</v>
      </c>
      <c r="AS19" s="56" t="e">
        <f>VLOOKUP(G19, Table2837810[#All], 2, 0)</f>
        <v>#N/A</v>
      </c>
      <c r="AT19" s="56" t="e">
        <f>VLOOKUP(H19, Table2837810[#All], 2, 0)</f>
        <v>#N/A</v>
      </c>
      <c r="AU19" s="56" t="e">
        <f>VLOOKUP(I19, Table2837810[#All], 2, 0)</f>
        <v>#N/A</v>
      </c>
      <c r="AV19" s="56" t="e">
        <f>VLOOKUP(J19, Table2837810[#All], 2, 0)</f>
        <v>#N/A</v>
      </c>
      <c r="AW19" s="56" t="e">
        <f>VLOOKUP(K19, Table2837810[#All], 2, 0)</f>
        <v>#N/A</v>
      </c>
      <c r="AX19" s="56" t="e">
        <f>VLOOKUP(L19, Table2837810[#All], 2, 0)</f>
        <v>#N/A</v>
      </c>
      <c r="AY19" s="56" t="e">
        <f>VLOOKUP(M19, Table2837810[#All], 2, 0)</f>
        <v>#N/A</v>
      </c>
      <c r="AZ19" s="56" t="e">
        <f>VLOOKUP(N19, Table2837810[#All], 2, 0)</f>
        <v>#N/A</v>
      </c>
      <c r="BA19" s="56" t="e">
        <f>VLOOKUP(O19, Table2837810[#All], 2, 0)</f>
        <v>#N/A</v>
      </c>
      <c r="BB19" s="56" t="e">
        <f>VLOOKUP(P19, Table2837810[#All], 2, 0)</f>
        <v>#N/A</v>
      </c>
      <c r="BC19" s="56" t="e">
        <f>VLOOKUP(Q19, Table2837810[#All], 2, 0)</f>
        <v>#N/A</v>
      </c>
      <c r="BD19" s="56" t="e">
        <f>VLOOKUP(R19, Table2837810[#All], 2, 0)</f>
        <v>#N/A</v>
      </c>
      <c r="BE19" s="58"/>
      <c r="BF19" s="68" t="e">
        <f>1/BE20</f>
        <v>#N/A</v>
      </c>
      <c r="BG19" s="68" t="e">
        <f>1/BE21</f>
        <v>#N/A</v>
      </c>
      <c r="BH19" s="68" t="e">
        <f>1/BE22</f>
        <v>#N/A</v>
      </c>
      <c r="BI19" s="68" t="e">
        <f>1/BE23</f>
        <v>#N/A</v>
      </c>
      <c r="BJ19" s="68" t="e">
        <f>1/BE24</f>
        <v>#N/A</v>
      </c>
      <c r="BK19" s="68" t="e">
        <f>1/BE25</f>
        <v>#N/A</v>
      </c>
      <c r="BL19" s="68" t="e">
        <f>1/BE26</f>
        <v>#N/A</v>
      </c>
      <c r="BM19" s="68" t="e">
        <f>1/BE27</f>
        <v>#N/A</v>
      </c>
      <c r="BN19" s="68" t="e">
        <f>1/BE28</f>
        <v>#N/A</v>
      </c>
      <c r="BO19" s="68" t="e">
        <f>1/BE29</f>
        <v>#N/A</v>
      </c>
      <c r="BP19" s="68" t="e">
        <f>1/BE30</f>
        <v>#N/A</v>
      </c>
      <c r="BQ19" s="68" t="e">
        <f>1/BE31</f>
        <v>#N/A</v>
      </c>
      <c r="BR19" s="68" t="e">
        <f>1/BE32</f>
        <v>#N/A</v>
      </c>
      <c r="BS19" s="68" t="e">
        <f>1/BE33</f>
        <v>#N/A</v>
      </c>
      <c r="BT19" s="68" t="e">
        <f>1/BE34</f>
        <v>#N/A</v>
      </c>
      <c r="BU19" s="68" t="e">
        <f>1/BE35</f>
        <v>#N/A</v>
      </c>
      <c r="BV19" s="68" t="e">
        <f>1/BE36</f>
        <v>#N/A</v>
      </c>
      <c r="BW19" s="55" t="e">
        <f t="shared" si="0"/>
        <v>#N/A</v>
      </c>
      <c r="BX19" s="42"/>
      <c r="BY19" s="42"/>
      <c r="BZ19" s="42"/>
      <c r="CA19" s="42"/>
      <c r="CB19" s="42"/>
      <c r="CC19" s="42"/>
      <c r="CD19" s="42"/>
      <c r="CE19" s="42"/>
      <c r="CF19" s="42"/>
      <c r="CG19" s="42"/>
      <c r="CH19" s="42"/>
      <c r="CI19" s="42"/>
      <c r="CJ19" s="42"/>
      <c r="CK19" s="42"/>
      <c r="CL19" s="42"/>
      <c r="CM19" s="42"/>
      <c r="CN19" s="42"/>
    </row>
    <row r="20" spans="1:92" s="43" customFormat="1" ht="53.45" customHeight="1">
      <c r="A20" s="42"/>
      <c r="B20" s="46"/>
      <c r="C20" s="42"/>
      <c r="D20" s="42"/>
      <c r="E20" s="38" t="s">
        <v>147</v>
      </c>
      <c r="F20" s="26"/>
      <c r="G20" s="26"/>
      <c r="H20" s="26"/>
      <c r="I20" s="26"/>
      <c r="J20" s="26"/>
      <c r="K20" s="26"/>
      <c r="L20" s="26"/>
      <c r="M20" s="26"/>
      <c r="N20" s="26"/>
      <c r="O20" s="26"/>
      <c r="P20" s="26"/>
      <c r="Q20" s="26"/>
      <c r="R20" s="26"/>
      <c r="S20" s="26"/>
      <c r="T20" s="12"/>
      <c r="U20" s="12"/>
      <c r="V20" s="12"/>
      <c r="W20" s="12"/>
      <c r="X20" s="12"/>
      <c r="Y20" s="12"/>
      <c r="Z20" s="12"/>
      <c r="AA20" s="12"/>
      <c r="AB20" s="12"/>
      <c r="AC20" s="12"/>
      <c r="AD20" s="12"/>
      <c r="AE20" s="12"/>
      <c r="AF20" s="12"/>
      <c r="AG20" s="12"/>
      <c r="AH20" s="12"/>
      <c r="AI20" s="12"/>
      <c r="AJ20" s="12"/>
      <c r="AK20" s="8" t="e">
        <f t="shared" si="1"/>
        <v>#N/A</v>
      </c>
      <c r="AL20" s="52" t="e">
        <f>RANK(AK20,$AK6:$AK36,0)</f>
        <v>#N/A</v>
      </c>
      <c r="AM20" s="47"/>
      <c r="AN20" s="42"/>
      <c r="AO20" s="42"/>
      <c r="AP20" s="42"/>
      <c r="AQ20" s="42"/>
      <c r="AR20" s="56" t="e">
        <f>VLOOKUP(F20, Table2837810[#All], 2, 0)</f>
        <v>#N/A</v>
      </c>
      <c r="AS20" s="56" t="e">
        <f>VLOOKUP(G20, Table2837810[#All], 2, 0)</f>
        <v>#N/A</v>
      </c>
      <c r="AT20" s="56" t="e">
        <f>VLOOKUP(H20, Table2837810[#All], 2, 0)</f>
        <v>#N/A</v>
      </c>
      <c r="AU20" s="56" t="e">
        <f>VLOOKUP(I20, Table2837810[#All], 2, 0)</f>
        <v>#N/A</v>
      </c>
      <c r="AV20" s="56" t="e">
        <f>VLOOKUP(J20, Table2837810[#All], 2, 0)</f>
        <v>#N/A</v>
      </c>
      <c r="AW20" s="56" t="e">
        <f>VLOOKUP(K20, Table2837810[#All], 2, 0)</f>
        <v>#N/A</v>
      </c>
      <c r="AX20" s="56" t="e">
        <f>VLOOKUP(L20, Table2837810[#All], 2, 0)</f>
        <v>#N/A</v>
      </c>
      <c r="AY20" s="56" t="e">
        <f>VLOOKUP(M20, Table2837810[#All], 2, 0)</f>
        <v>#N/A</v>
      </c>
      <c r="AZ20" s="56" t="e">
        <f>VLOOKUP(N20, Table2837810[#All], 2, 0)</f>
        <v>#N/A</v>
      </c>
      <c r="BA20" s="56" t="e">
        <f>VLOOKUP(O20, Table2837810[#All], 2, 0)</f>
        <v>#N/A</v>
      </c>
      <c r="BB20" s="56" t="e">
        <f>VLOOKUP(P20, Table2837810[#All], 2, 0)</f>
        <v>#N/A</v>
      </c>
      <c r="BC20" s="56" t="e">
        <f>VLOOKUP(Q20, Table2837810[#All], 2, 0)</f>
        <v>#N/A</v>
      </c>
      <c r="BD20" s="56" t="e">
        <f>VLOOKUP(R20, Table2837810[#All], 2, 0)</f>
        <v>#N/A</v>
      </c>
      <c r="BE20" s="56" t="e">
        <f>VLOOKUP(S20, Table2837810[#All], 2, 0)</f>
        <v>#N/A</v>
      </c>
      <c r="BF20" s="58"/>
      <c r="BG20" s="68" t="e">
        <f>1/BF21</f>
        <v>#N/A</v>
      </c>
      <c r="BH20" s="68" t="e">
        <f>1/BF22</f>
        <v>#N/A</v>
      </c>
      <c r="BI20" s="68" t="e">
        <f>1/BF23</f>
        <v>#N/A</v>
      </c>
      <c r="BJ20" s="68" t="e">
        <f>1/BF24</f>
        <v>#N/A</v>
      </c>
      <c r="BK20" s="68" t="e">
        <f>1/BF25</f>
        <v>#N/A</v>
      </c>
      <c r="BL20" s="68" t="e">
        <f>1/BF26</f>
        <v>#N/A</v>
      </c>
      <c r="BM20" s="68" t="e">
        <f>1/BF27</f>
        <v>#N/A</v>
      </c>
      <c r="BN20" s="68" t="e">
        <f>1/BF28</f>
        <v>#N/A</v>
      </c>
      <c r="BO20" s="68" t="e">
        <f>1/BF29</f>
        <v>#N/A</v>
      </c>
      <c r="BP20" s="68" t="e">
        <f>1/BF30</f>
        <v>#N/A</v>
      </c>
      <c r="BQ20" s="68" t="e">
        <f>1/BF31</f>
        <v>#N/A</v>
      </c>
      <c r="BR20" s="68" t="e">
        <f>1/BF32</f>
        <v>#N/A</v>
      </c>
      <c r="BS20" s="68" t="e">
        <f>1/BF33</f>
        <v>#N/A</v>
      </c>
      <c r="BT20" s="68" t="e">
        <f>1/BF34</f>
        <v>#N/A</v>
      </c>
      <c r="BU20" s="68" t="e">
        <f>1/BF35</f>
        <v>#N/A</v>
      </c>
      <c r="BV20" s="68" t="e">
        <f>1/BF36</f>
        <v>#N/A</v>
      </c>
      <c r="BW20" s="55" t="e">
        <f t="shared" si="0"/>
        <v>#N/A</v>
      </c>
      <c r="BX20" s="42"/>
      <c r="BY20" s="42"/>
      <c r="BZ20" s="42"/>
      <c r="CA20" s="42"/>
      <c r="CB20" s="42"/>
      <c r="CC20" s="42"/>
      <c r="CD20" s="42"/>
      <c r="CE20" s="42"/>
      <c r="CF20" s="42"/>
      <c r="CG20" s="42"/>
      <c r="CH20" s="42"/>
      <c r="CI20" s="42"/>
      <c r="CJ20" s="42"/>
      <c r="CK20" s="42"/>
      <c r="CL20" s="42"/>
      <c r="CM20" s="42"/>
      <c r="CN20" s="42"/>
    </row>
    <row r="21" spans="1:92" s="43" customFormat="1" ht="55.5" customHeight="1">
      <c r="A21" s="42"/>
      <c r="B21" s="46"/>
      <c r="C21" s="42"/>
      <c r="D21" s="42"/>
      <c r="E21" s="38" t="s">
        <v>148</v>
      </c>
      <c r="F21" s="26"/>
      <c r="G21" s="26"/>
      <c r="H21" s="26"/>
      <c r="I21" s="26"/>
      <c r="J21" s="26"/>
      <c r="K21" s="26"/>
      <c r="L21" s="26"/>
      <c r="M21" s="26"/>
      <c r="N21" s="26"/>
      <c r="O21" s="26"/>
      <c r="P21" s="26"/>
      <c r="Q21" s="26"/>
      <c r="R21" s="26"/>
      <c r="S21" s="26"/>
      <c r="T21" s="26"/>
      <c r="U21" s="12"/>
      <c r="V21" s="12"/>
      <c r="W21" s="12"/>
      <c r="X21" s="12"/>
      <c r="Y21" s="12"/>
      <c r="Z21" s="12"/>
      <c r="AA21" s="12"/>
      <c r="AB21" s="12"/>
      <c r="AC21" s="12"/>
      <c r="AD21" s="12"/>
      <c r="AE21" s="12"/>
      <c r="AF21" s="12"/>
      <c r="AG21" s="12"/>
      <c r="AH21" s="12"/>
      <c r="AI21" s="12"/>
      <c r="AJ21" s="12"/>
      <c r="AK21" s="8" t="e">
        <f t="shared" si="1"/>
        <v>#N/A</v>
      </c>
      <c r="AL21" s="52" t="e">
        <f>RANK(AK21,$AK6:$AK36,0)</f>
        <v>#N/A</v>
      </c>
      <c r="AM21" s="47"/>
      <c r="AN21" s="42"/>
      <c r="AO21" s="42"/>
      <c r="AP21" s="42"/>
      <c r="AQ21" s="42"/>
      <c r="AR21" s="56" t="e">
        <f>VLOOKUP(F21, Table2837810[#All], 2, 0)</f>
        <v>#N/A</v>
      </c>
      <c r="AS21" s="56" t="e">
        <f>VLOOKUP(G21, Table2837810[#All], 2, 0)</f>
        <v>#N/A</v>
      </c>
      <c r="AT21" s="56" t="e">
        <f>VLOOKUP(H21, Table2837810[#All], 2, 0)</f>
        <v>#N/A</v>
      </c>
      <c r="AU21" s="56" t="e">
        <f>VLOOKUP(I21, Table2837810[#All], 2, 0)</f>
        <v>#N/A</v>
      </c>
      <c r="AV21" s="56" t="e">
        <f>VLOOKUP(J21, Table2837810[#All], 2, 0)</f>
        <v>#N/A</v>
      </c>
      <c r="AW21" s="56" t="e">
        <f>VLOOKUP(K21, Table2837810[#All], 2, 0)</f>
        <v>#N/A</v>
      </c>
      <c r="AX21" s="56" t="e">
        <f>VLOOKUP(L21, Table2837810[#All], 2, 0)</f>
        <v>#N/A</v>
      </c>
      <c r="AY21" s="56" t="e">
        <f>VLOOKUP(M21, Table2837810[#All], 2, 0)</f>
        <v>#N/A</v>
      </c>
      <c r="AZ21" s="56" t="e">
        <f>VLOOKUP(N21, Table2837810[#All], 2, 0)</f>
        <v>#N/A</v>
      </c>
      <c r="BA21" s="56" t="e">
        <f>VLOOKUP(O21, Table2837810[#All], 2, 0)</f>
        <v>#N/A</v>
      </c>
      <c r="BB21" s="56" t="e">
        <f>VLOOKUP(P21, Table2837810[#All], 2, 0)</f>
        <v>#N/A</v>
      </c>
      <c r="BC21" s="56" t="e">
        <f>VLOOKUP(Q21, Table2837810[#All], 2, 0)</f>
        <v>#N/A</v>
      </c>
      <c r="BD21" s="56" t="e">
        <f>VLOOKUP(R21, Table2837810[#All], 2, 0)</f>
        <v>#N/A</v>
      </c>
      <c r="BE21" s="56" t="e">
        <f>VLOOKUP(S21, Table2837810[#All], 2, 0)</f>
        <v>#N/A</v>
      </c>
      <c r="BF21" s="56" t="e">
        <f>VLOOKUP(T21, Table2837810[#All], 2, 0)</f>
        <v>#N/A</v>
      </c>
      <c r="BG21" s="58"/>
      <c r="BH21" s="68" t="e">
        <f>1/BG22</f>
        <v>#N/A</v>
      </c>
      <c r="BI21" s="68" t="e">
        <f>1/BG23</f>
        <v>#N/A</v>
      </c>
      <c r="BJ21" s="68" t="e">
        <f>1/BG24</f>
        <v>#N/A</v>
      </c>
      <c r="BK21" s="68" t="e">
        <f>1/BG25</f>
        <v>#N/A</v>
      </c>
      <c r="BL21" s="68" t="e">
        <f>1/BG26</f>
        <v>#N/A</v>
      </c>
      <c r="BM21" s="68" t="e">
        <f>1/BG27</f>
        <v>#N/A</v>
      </c>
      <c r="BN21" s="68" t="e">
        <f>1/BG28</f>
        <v>#N/A</v>
      </c>
      <c r="BO21" s="68" t="e">
        <f>1/BG29</f>
        <v>#N/A</v>
      </c>
      <c r="BP21" s="68" t="e">
        <f>1/BG30</f>
        <v>#N/A</v>
      </c>
      <c r="BQ21" s="68" t="e">
        <f>1/BG31</f>
        <v>#N/A</v>
      </c>
      <c r="BR21" s="68" t="e">
        <f>1/BG32</f>
        <v>#N/A</v>
      </c>
      <c r="BS21" s="68" t="e">
        <f>1/BG33</f>
        <v>#N/A</v>
      </c>
      <c r="BT21" s="68" t="e">
        <f>1/BG34</f>
        <v>#N/A</v>
      </c>
      <c r="BU21" s="68" t="e">
        <f>1/BG35</f>
        <v>#N/A</v>
      </c>
      <c r="BV21" s="68" t="e">
        <f>1/BG36</f>
        <v>#N/A</v>
      </c>
      <c r="BW21" s="55" t="e">
        <f t="shared" si="0"/>
        <v>#N/A</v>
      </c>
      <c r="BX21" s="42"/>
      <c r="BY21" s="42"/>
      <c r="BZ21" s="42"/>
      <c r="CA21" s="42"/>
      <c r="CB21" s="42"/>
      <c r="CC21" s="42"/>
      <c r="CD21" s="42"/>
      <c r="CE21" s="42"/>
      <c r="CF21" s="42"/>
      <c r="CG21" s="42"/>
      <c r="CH21" s="42"/>
      <c r="CI21" s="42"/>
      <c r="CJ21" s="42"/>
      <c r="CK21" s="42"/>
      <c r="CL21" s="42"/>
      <c r="CM21" s="42"/>
      <c r="CN21" s="42"/>
    </row>
    <row r="22" spans="1:92" s="43" customFormat="1" ht="43.35" customHeight="1">
      <c r="A22" s="42"/>
      <c r="B22" s="46"/>
      <c r="C22" s="42"/>
      <c r="D22" s="42"/>
      <c r="E22" s="38" t="s">
        <v>362</v>
      </c>
      <c r="F22" s="26"/>
      <c r="G22" s="26"/>
      <c r="H22" s="26"/>
      <c r="I22" s="26"/>
      <c r="J22" s="26"/>
      <c r="K22" s="26"/>
      <c r="L22" s="26"/>
      <c r="M22" s="26"/>
      <c r="N22" s="26"/>
      <c r="O22" s="26"/>
      <c r="P22" s="26"/>
      <c r="Q22" s="26"/>
      <c r="R22" s="26"/>
      <c r="S22" s="26"/>
      <c r="T22" s="26"/>
      <c r="U22" s="26"/>
      <c r="V22" s="12"/>
      <c r="W22" s="12"/>
      <c r="X22" s="12"/>
      <c r="Y22" s="12"/>
      <c r="Z22" s="12"/>
      <c r="AA22" s="12"/>
      <c r="AB22" s="12"/>
      <c r="AC22" s="12"/>
      <c r="AD22" s="12"/>
      <c r="AE22" s="12"/>
      <c r="AF22" s="12"/>
      <c r="AG22" s="12"/>
      <c r="AH22" s="12"/>
      <c r="AI22" s="12"/>
      <c r="AJ22" s="12"/>
      <c r="AK22" s="8" t="e">
        <f t="shared" si="1"/>
        <v>#N/A</v>
      </c>
      <c r="AL22" s="52" t="e">
        <f>RANK(AK22,$AK6:$AK36,0)</f>
        <v>#N/A</v>
      </c>
      <c r="AM22" s="47"/>
      <c r="AN22" s="42"/>
      <c r="AO22" s="42"/>
      <c r="AP22" s="42"/>
      <c r="AQ22" s="42"/>
      <c r="AR22" s="56" t="e">
        <f>VLOOKUP(F22, Table2837810[#All], 2, 0)</f>
        <v>#N/A</v>
      </c>
      <c r="AS22" s="56" t="e">
        <f>VLOOKUP(G22, Table2837810[#All], 2, 0)</f>
        <v>#N/A</v>
      </c>
      <c r="AT22" s="56" t="e">
        <f>VLOOKUP(H22, Table2837810[#All], 2, 0)</f>
        <v>#N/A</v>
      </c>
      <c r="AU22" s="56" t="e">
        <f>VLOOKUP(I22, Table2837810[#All], 2, 0)</f>
        <v>#N/A</v>
      </c>
      <c r="AV22" s="56" t="e">
        <f>VLOOKUP(J22, Table2837810[#All], 2, 0)</f>
        <v>#N/A</v>
      </c>
      <c r="AW22" s="56" t="e">
        <f>VLOOKUP(K22, Table2837810[#All], 2, 0)</f>
        <v>#N/A</v>
      </c>
      <c r="AX22" s="56" t="e">
        <f>VLOOKUP(L22, Table2837810[#All], 2, 0)</f>
        <v>#N/A</v>
      </c>
      <c r="AY22" s="56" t="e">
        <f>VLOOKUP(M22, Table2837810[#All], 2, 0)</f>
        <v>#N/A</v>
      </c>
      <c r="AZ22" s="56" t="e">
        <f>VLOOKUP(N22, Table2837810[#All], 2, 0)</f>
        <v>#N/A</v>
      </c>
      <c r="BA22" s="56" t="e">
        <f>VLOOKUP(O22, Table2837810[#All], 2, 0)</f>
        <v>#N/A</v>
      </c>
      <c r="BB22" s="56" t="e">
        <f>VLOOKUP(P22, Table2837810[#All], 2, 0)</f>
        <v>#N/A</v>
      </c>
      <c r="BC22" s="56" t="e">
        <f>VLOOKUP(Q22, Table2837810[#All], 2, 0)</f>
        <v>#N/A</v>
      </c>
      <c r="BD22" s="56" t="e">
        <f>VLOOKUP(R22, Table2837810[#All], 2, 0)</f>
        <v>#N/A</v>
      </c>
      <c r="BE22" s="56" t="e">
        <f>VLOOKUP(S22, Table2837810[#All], 2, 0)</f>
        <v>#N/A</v>
      </c>
      <c r="BF22" s="56" t="e">
        <f>VLOOKUP(T22, Table2837810[#All], 2, 0)</f>
        <v>#N/A</v>
      </c>
      <c r="BG22" s="56" t="e">
        <f>VLOOKUP(U22, Table2837810[#All], 2, 0)</f>
        <v>#N/A</v>
      </c>
      <c r="BH22" s="58"/>
      <c r="BI22" s="68" t="e">
        <f>1/BH23</f>
        <v>#N/A</v>
      </c>
      <c r="BJ22" s="68" t="e">
        <f>1/BH24</f>
        <v>#N/A</v>
      </c>
      <c r="BK22" s="68" t="e">
        <f>1/BH25</f>
        <v>#N/A</v>
      </c>
      <c r="BL22" s="68" t="e">
        <f>1/BH26</f>
        <v>#N/A</v>
      </c>
      <c r="BM22" s="68" t="e">
        <f>1/BH27</f>
        <v>#N/A</v>
      </c>
      <c r="BN22" s="68" t="e">
        <f>1/BH28</f>
        <v>#N/A</v>
      </c>
      <c r="BO22" s="68" t="e">
        <f>1/BH29</f>
        <v>#N/A</v>
      </c>
      <c r="BP22" s="68" t="e">
        <f>1/BH30</f>
        <v>#N/A</v>
      </c>
      <c r="BQ22" s="68" t="e">
        <f>1/BH31</f>
        <v>#N/A</v>
      </c>
      <c r="BR22" s="68" t="e">
        <f>1/BH32</f>
        <v>#N/A</v>
      </c>
      <c r="BS22" s="68" t="e">
        <f>1/BH33</f>
        <v>#N/A</v>
      </c>
      <c r="BT22" s="68" t="e">
        <f>1/BH34</f>
        <v>#N/A</v>
      </c>
      <c r="BU22" s="68" t="e">
        <f>1/BH35</f>
        <v>#N/A</v>
      </c>
      <c r="BV22" s="68" t="e">
        <f>1/BH36</f>
        <v>#N/A</v>
      </c>
      <c r="BW22" s="55" t="e">
        <f t="shared" si="0"/>
        <v>#N/A</v>
      </c>
      <c r="BX22" s="42"/>
      <c r="BY22" s="42"/>
      <c r="BZ22" s="42"/>
      <c r="CA22" s="42"/>
      <c r="CB22" s="42"/>
      <c r="CC22" s="42"/>
      <c r="CD22" s="42"/>
      <c r="CE22" s="42"/>
      <c r="CF22" s="42"/>
      <c r="CG22" s="42"/>
      <c r="CH22" s="42"/>
      <c r="CI22" s="42"/>
      <c r="CJ22" s="42"/>
      <c r="CK22" s="42"/>
      <c r="CL22" s="42"/>
      <c r="CM22" s="42"/>
      <c r="CN22" s="42"/>
    </row>
    <row r="23" spans="1:92" s="43" customFormat="1" ht="46.9" customHeight="1">
      <c r="A23" s="42"/>
      <c r="B23" s="46"/>
      <c r="C23" s="42"/>
      <c r="D23" s="42"/>
      <c r="E23" s="38" t="s">
        <v>363</v>
      </c>
      <c r="F23" s="26"/>
      <c r="G23" s="26"/>
      <c r="H23" s="26"/>
      <c r="I23" s="26"/>
      <c r="J23" s="26"/>
      <c r="K23" s="26"/>
      <c r="L23" s="26"/>
      <c r="M23" s="26"/>
      <c r="N23" s="26"/>
      <c r="O23" s="26"/>
      <c r="P23" s="26"/>
      <c r="Q23" s="26"/>
      <c r="R23" s="26"/>
      <c r="S23" s="26"/>
      <c r="T23" s="26"/>
      <c r="U23" s="26"/>
      <c r="V23" s="26"/>
      <c r="W23" s="12"/>
      <c r="X23" s="12"/>
      <c r="Y23" s="12"/>
      <c r="Z23" s="12"/>
      <c r="AA23" s="12"/>
      <c r="AB23" s="12"/>
      <c r="AC23" s="12"/>
      <c r="AD23" s="12"/>
      <c r="AE23" s="12"/>
      <c r="AF23" s="12"/>
      <c r="AG23" s="12"/>
      <c r="AH23" s="12"/>
      <c r="AI23" s="12"/>
      <c r="AJ23" s="12"/>
      <c r="AK23" s="8" t="e">
        <f t="shared" si="1"/>
        <v>#N/A</v>
      </c>
      <c r="AL23" s="52" t="e">
        <f>RANK(AK23,$AK6:$AK36,0)</f>
        <v>#N/A</v>
      </c>
      <c r="AM23" s="47"/>
      <c r="AN23" s="42"/>
      <c r="AO23" s="42"/>
      <c r="AP23" s="42"/>
      <c r="AQ23" s="42"/>
      <c r="AR23" s="56" t="e">
        <f>VLOOKUP(F23, Table2837810[#All], 2, 0)</f>
        <v>#N/A</v>
      </c>
      <c r="AS23" s="56" t="e">
        <f>VLOOKUP(G23, Table2837810[#All], 2, 0)</f>
        <v>#N/A</v>
      </c>
      <c r="AT23" s="56" t="e">
        <f>VLOOKUP(H23, Table2837810[#All], 2, 0)</f>
        <v>#N/A</v>
      </c>
      <c r="AU23" s="56" t="e">
        <f>VLOOKUP(I23, Table2837810[#All], 2, 0)</f>
        <v>#N/A</v>
      </c>
      <c r="AV23" s="56" t="e">
        <f>VLOOKUP(J23, Table2837810[#All], 2, 0)</f>
        <v>#N/A</v>
      </c>
      <c r="AW23" s="56" t="e">
        <f>VLOOKUP(K23, Table2837810[#All], 2, 0)</f>
        <v>#N/A</v>
      </c>
      <c r="AX23" s="56" t="e">
        <f>VLOOKUP(L23, Table2837810[#All], 2, 0)</f>
        <v>#N/A</v>
      </c>
      <c r="AY23" s="56" t="e">
        <f>VLOOKUP(M23, Table2837810[#All], 2, 0)</f>
        <v>#N/A</v>
      </c>
      <c r="AZ23" s="56" t="e">
        <f>VLOOKUP(N23, Table2837810[#All], 2, 0)</f>
        <v>#N/A</v>
      </c>
      <c r="BA23" s="56" t="e">
        <f>VLOOKUP(O23, Table2837810[#All], 2, 0)</f>
        <v>#N/A</v>
      </c>
      <c r="BB23" s="56" t="e">
        <f>VLOOKUP(P23, Table2837810[#All], 2, 0)</f>
        <v>#N/A</v>
      </c>
      <c r="BC23" s="56" t="e">
        <f>VLOOKUP(Q23, Table2837810[#All], 2, 0)</f>
        <v>#N/A</v>
      </c>
      <c r="BD23" s="56" t="e">
        <f>VLOOKUP(R23, Table2837810[#All], 2, 0)</f>
        <v>#N/A</v>
      </c>
      <c r="BE23" s="56" t="e">
        <f>VLOOKUP(S23, Table2837810[#All], 2, 0)</f>
        <v>#N/A</v>
      </c>
      <c r="BF23" s="56" t="e">
        <f>VLOOKUP(T23, Table2837810[#All], 2, 0)</f>
        <v>#N/A</v>
      </c>
      <c r="BG23" s="56" t="e">
        <f>VLOOKUP(U23, Table2837810[#All], 2, 0)</f>
        <v>#N/A</v>
      </c>
      <c r="BH23" s="56" t="e">
        <f>VLOOKUP(V23, Table2837810[#All], 2, 0)</f>
        <v>#N/A</v>
      </c>
      <c r="BI23" s="58"/>
      <c r="BJ23" s="68" t="e">
        <f>1/BI24</f>
        <v>#N/A</v>
      </c>
      <c r="BK23" s="68" t="e">
        <f>1/BI25</f>
        <v>#N/A</v>
      </c>
      <c r="BL23" s="68" t="e">
        <f>1/BI26</f>
        <v>#N/A</v>
      </c>
      <c r="BM23" s="68" t="e">
        <f>1/BI27</f>
        <v>#N/A</v>
      </c>
      <c r="BN23" s="68" t="e">
        <f>1/BI28</f>
        <v>#N/A</v>
      </c>
      <c r="BO23" s="68" t="e">
        <f>1/BI29</f>
        <v>#N/A</v>
      </c>
      <c r="BP23" s="68" t="e">
        <f>1/BI30</f>
        <v>#N/A</v>
      </c>
      <c r="BQ23" s="68" t="e">
        <f>1/BI31</f>
        <v>#N/A</v>
      </c>
      <c r="BR23" s="68" t="e">
        <f>1/BI32</f>
        <v>#N/A</v>
      </c>
      <c r="BS23" s="68" t="e">
        <f>1/BI33</f>
        <v>#N/A</v>
      </c>
      <c r="BT23" s="68" t="e">
        <f>1/BI34</f>
        <v>#N/A</v>
      </c>
      <c r="BU23" s="68" t="e">
        <f>1/BI35</f>
        <v>#N/A</v>
      </c>
      <c r="BV23" s="68" t="e">
        <f>1/BI36</f>
        <v>#N/A</v>
      </c>
      <c r="BW23" s="55" t="e">
        <f t="shared" si="0"/>
        <v>#N/A</v>
      </c>
      <c r="BX23" s="42"/>
      <c r="BY23" s="42"/>
      <c r="BZ23" s="42"/>
      <c r="CA23" s="42"/>
      <c r="CB23" s="42"/>
      <c r="CC23" s="42"/>
      <c r="CD23" s="42"/>
      <c r="CE23" s="42"/>
      <c r="CF23" s="42"/>
      <c r="CG23" s="42"/>
      <c r="CH23" s="42"/>
      <c r="CI23" s="42"/>
      <c r="CJ23" s="42"/>
      <c r="CK23" s="42"/>
      <c r="CL23" s="42"/>
      <c r="CM23" s="42"/>
      <c r="CN23" s="42"/>
    </row>
    <row r="24" spans="1:92" s="43" customFormat="1" ht="53.45" customHeight="1">
      <c r="A24" s="42"/>
      <c r="B24" s="46"/>
      <c r="C24" s="42"/>
      <c r="D24" s="42"/>
      <c r="E24" s="38" t="s">
        <v>149</v>
      </c>
      <c r="F24" s="26"/>
      <c r="G24" s="26"/>
      <c r="H24" s="26"/>
      <c r="I24" s="26"/>
      <c r="J24" s="26"/>
      <c r="K24" s="26"/>
      <c r="L24" s="26"/>
      <c r="M24" s="26"/>
      <c r="N24" s="26"/>
      <c r="O24" s="26"/>
      <c r="P24" s="26"/>
      <c r="Q24" s="26"/>
      <c r="R24" s="26"/>
      <c r="S24" s="26"/>
      <c r="T24" s="26"/>
      <c r="U24" s="26"/>
      <c r="V24" s="26"/>
      <c r="W24" s="26"/>
      <c r="X24" s="12"/>
      <c r="Y24" s="12"/>
      <c r="Z24" s="12"/>
      <c r="AA24" s="12"/>
      <c r="AB24" s="12"/>
      <c r="AC24" s="12"/>
      <c r="AD24" s="12"/>
      <c r="AE24" s="12"/>
      <c r="AF24" s="12"/>
      <c r="AG24" s="12"/>
      <c r="AH24" s="12"/>
      <c r="AI24" s="12"/>
      <c r="AJ24" s="12"/>
      <c r="AK24" s="8" t="e">
        <f t="shared" si="1"/>
        <v>#N/A</v>
      </c>
      <c r="AL24" s="52" t="e">
        <f>RANK(AK24,$AK6:$AK36,0)</f>
        <v>#N/A</v>
      </c>
      <c r="AM24" s="47"/>
      <c r="AN24" s="42"/>
      <c r="AO24" s="42"/>
      <c r="AP24" s="42"/>
      <c r="AQ24" s="42"/>
      <c r="AR24" s="56" t="e">
        <f>VLOOKUP(F24, Table2837810[#All], 2, 0)</f>
        <v>#N/A</v>
      </c>
      <c r="AS24" s="56" t="e">
        <f>VLOOKUP(G24, Table2837810[#All], 2, 0)</f>
        <v>#N/A</v>
      </c>
      <c r="AT24" s="56" t="e">
        <f>VLOOKUP(H24, Table2837810[#All], 2, 0)</f>
        <v>#N/A</v>
      </c>
      <c r="AU24" s="56" t="e">
        <f>VLOOKUP(I24, Table2837810[#All], 2, 0)</f>
        <v>#N/A</v>
      </c>
      <c r="AV24" s="56" t="e">
        <f>VLOOKUP(J24, Table2837810[#All], 2, 0)</f>
        <v>#N/A</v>
      </c>
      <c r="AW24" s="56" t="e">
        <f>VLOOKUP(K24, Table2837810[#All], 2, 0)</f>
        <v>#N/A</v>
      </c>
      <c r="AX24" s="56" t="e">
        <f>VLOOKUP(L24, Table2837810[#All], 2, 0)</f>
        <v>#N/A</v>
      </c>
      <c r="AY24" s="56" t="e">
        <f>VLOOKUP(M24, Table2837810[#All], 2, 0)</f>
        <v>#N/A</v>
      </c>
      <c r="AZ24" s="56" t="e">
        <f>VLOOKUP(N24, Table2837810[#All], 2, 0)</f>
        <v>#N/A</v>
      </c>
      <c r="BA24" s="56" t="e">
        <f>VLOOKUP(O24, Table2837810[#All], 2, 0)</f>
        <v>#N/A</v>
      </c>
      <c r="BB24" s="56" t="e">
        <f>VLOOKUP(P24, Table2837810[#All], 2, 0)</f>
        <v>#N/A</v>
      </c>
      <c r="BC24" s="56" t="e">
        <f>VLOOKUP(Q24, Table2837810[#All], 2, 0)</f>
        <v>#N/A</v>
      </c>
      <c r="BD24" s="56" t="e">
        <f>VLOOKUP(R24, Table2837810[#All], 2, 0)</f>
        <v>#N/A</v>
      </c>
      <c r="BE24" s="56" t="e">
        <f>VLOOKUP(S24, Table2837810[#All], 2, 0)</f>
        <v>#N/A</v>
      </c>
      <c r="BF24" s="56" t="e">
        <f>VLOOKUP(T24, Table2837810[#All], 2, 0)</f>
        <v>#N/A</v>
      </c>
      <c r="BG24" s="56" t="e">
        <f>VLOOKUP(U24, Table2837810[#All], 2, 0)</f>
        <v>#N/A</v>
      </c>
      <c r="BH24" s="56" t="e">
        <f>VLOOKUP(V24, Table2837810[#All], 2, 0)</f>
        <v>#N/A</v>
      </c>
      <c r="BI24" s="56" t="e">
        <f>VLOOKUP(W24, Table2837810[#All], 2, 0)</f>
        <v>#N/A</v>
      </c>
      <c r="BJ24" s="58"/>
      <c r="BK24" s="68" t="e">
        <f>1/BJ25</f>
        <v>#N/A</v>
      </c>
      <c r="BL24" s="68" t="e">
        <f>1/BJ26</f>
        <v>#N/A</v>
      </c>
      <c r="BM24" s="68" t="e">
        <f>1/BJ27</f>
        <v>#N/A</v>
      </c>
      <c r="BN24" s="68" t="e">
        <f>1/BJ28</f>
        <v>#N/A</v>
      </c>
      <c r="BO24" s="68" t="e">
        <f>1/BJ29</f>
        <v>#N/A</v>
      </c>
      <c r="BP24" s="68" t="e">
        <f>1/BJ30</f>
        <v>#N/A</v>
      </c>
      <c r="BQ24" s="68" t="e">
        <f>1/BJ31</f>
        <v>#N/A</v>
      </c>
      <c r="BR24" s="68" t="e">
        <f>1/BJ32</f>
        <v>#N/A</v>
      </c>
      <c r="BS24" s="68" t="e">
        <f>1/BJ33</f>
        <v>#N/A</v>
      </c>
      <c r="BT24" s="68" t="e">
        <f>1/BJ34</f>
        <v>#N/A</v>
      </c>
      <c r="BU24" s="68" t="e">
        <f>1/BJ35</f>
        <v>#N/A</v>
      </c>
      <c r="BV24" s="68" t="e">
        <f>1/BJ36</f>
        <v>#N/A</v>
      </c>
      <c r="BW24" s="55" t="e">
        <f t="shared" si="0"/>
        <v>#N/A</v>
      </c>
      <c r="BX24" s="42"/>
      <c r="BY24" s="42"/>
      <c r="BZ24" s="42"/>
      <c r="CA24" s="42"/>
      <c r="CB24" s="42"/>
      <c r="CC24" s="42"/>
      <c r="CD24" s="42"/>
      <c r="CE24" s="42"/>
      <c r="CF24" s="42"/>
      <c r="CG24" s="42"/>
      <c r="CH24" s="42"/>
      <c r="CI24" s="42"/>
      <c r="CJ24" s="42"/>
      <c r="CK24" s="42"/>
      <c r="CL24" s="42"/>
      <c r="CM24" s="42"/>
      <c r="CN24" s="42"/>
    </row>
    <row r="25" spans="1:92" s="43" customFormat="1" ht="50.85" customHeight="1">
      <c r="A25" s="42"/>
      <c r="B25" s="46"/>
      <c r="C25" s="42"/>
      <c r="D25" s="42"/>
      <c r="E25" s="38" t="s">
        <v>364</v>
      </c>
      <c r="F25" s="26"/>
      <c r="G25" s="26"/>
      <c r="H25" s="26"/>
      <c r="I25" s="26"/>
      <c r="J25" s="26"/>
      <c r="K25" s="26"/>
      <c r="L25" s="26"/>
      <c r="M25" s="26"/>
      <c r="N25" s="26"/>
      <c r="O25" s="26"/>
      <c r="P25" s="26"/>
      <c r="Q25" s="26"/>
      <c r="R25" s="26"/>
      <c r="S25" s="26"/>
      <c r="T25" s="26"/>
      <c r="U25" s="26"/>
      <c r="V25" s="26"/>
      <c r="W25" s="26"/>
      <c r="X25" s="26"/>
      <c r="Y25" s="12"/>
      <c r="Z25" s="12"/>
      <c r="AA25" s="12"/>
      <c r="AB25" s="12"/>
      <c r="AC25" s="12"/>
      <c r="AD25" s="12"/>
      <c r="AE25" s="12"/>
      <c r="AF25" s="12"/>
      <c r="AG25" s="12"/>
      <c r="AH25" s="12"/>
      <c r="AI25" s="12"/>
      <c r="AJ25" s="12"/>
      <c r="AK25" s="8" t="e">
        <f t="shared" si="1"/>
        <v>#N/A</v>
      </c>
      <c r="AL25" s="52" t="e">
        <f>RANK(AK25,$AK6:$AK36,0)</f>
        <v>#N/A</v>
      </c>
      <c r="AM25" s="47"/>
      <c r="AN25" s="42"/>
      <c r="AO25" s="42"/>
      <c r="AP25" s="42"/>
      <c r="AQ25" s="42"/>
      <c r="AR25" s="56" t="e">
        <f>VLOOKUP(F25, Table2837810[#All], 2, 0)</f>
        <v>#N/A</v>
      </c>
      <c r="AS25" s="56" t="e">
        <f>VLOOKUP(G25, Table2837810[#All], 2, 0)</f>
        <v>#N/A</v>
      </c>
      <c r="AT25" s="56" t="e">
        <f>VLOOKUP(H25, Table2837810[#All], 2, 0)</f>
        <v>#N/A</v>
      </c>
      <c r="AU25" s="56" t="e">
        <f>VLOOKUP(I25, Table2837810[#All], 2, 0)</f>
        <v>#N/A</v>
      </c>
      <c r="AV25" s="56" t="e">
        <f>VLOOKUP(J25, Table2837810[#All], 2, 0)</f>
        <v>#N/A</v>
      </c>
      <c r="AW25" s="56" t="e">
        <f>VLOOKUP(K25, Table2837810[#All], 2, 0)</f>
        <v>#N/A</v>
      </c>
      <c r="AX25" s="56" t="e">
        <f>VLOOKUP(L25, Table2837810[#All], 2, 0)</f>
        <v>#N/A</v>
      </c>
      <c r="AY25" s="56" t="e">
        <f>VLOOKUP(M25, Table2837810[#All], 2, 0)</f>
        <v>#N/A</v>
      </c>
      <c r="AZ25" s="56" t="e">
        <f>VLOOKUP(N25, Table2837810[#All], 2, 0)</f>
        <v>#N/A</v>
      </c>
      <c r="BA25" s="56" t="e">
        <f>VLOOKUP(O25, Table2837810[#All], 2, 0)</f>
        <v>#N/A</v>
      </c>
      <c r="BB25" s="56" t="e">
        <f>VLOOKUP(P25, Table2837810[#All], 2, 0)</f>
        <v>#N/A</v>
      </c>
      <c r="BC25" s="56" t="e">
        <f>VLOOKUP(Q25, Table2837810[#All], 2, 0)</f>
        <v>#N/A</v>
      </c>
      <c r="BD25" s="56" t="e">
        <f>VLOOKUP(R25, Table2837810[#All], 2, 0)</f>
        <v>#N/A</v>
      </c>
      <c r="BE25" s="56" t="e">
        <f>VLOOKUP(S25, Table2837810[#All], 2, 0)</f>
        <v>#N/A</v>
      </c>
      <c r="BF25" s="56" t="e">
        <f>VLOOKUP(T25, Table2837810[#All], 2, 0)</f>
        <v>#N/A</v>
      </c>
      <c r="BG25" s="56" t="e">
        <f>VLOOKUP(U25, Table2837810[#All], 2, 0)</f>
        <v>#N/A</v>
      </c>
      <c r="BH25" s="56" t="e">
        <f>VLOOKUP(V25, Table2837810[#All], 2, 0)</f>
        <v>#N/A</v>
      </c>
      <c r="BI25" s="56" t="e">
        <f>VLOOKUP(W25, Table2837810[#All], 2, 0)</f>
        <v>#N/A</v>
      </c>
      <c r="BJ25" s="56" t="e">
        <f>VLOOKUP(X25, Table2837810[#All], 2, 0)</f>
        <v>#N/A</v>
      </c>
      <c r="BK25" s="58"/>
      <c r="BL25" s="68" t="e">
        <f>1/BK26</f>
        <v>#N/A</v>
      </c>
      <c r="BM25" s="68" t="e">
        <f>1/BK27</f>
        <v>#N/A</v>
      </c>
      <c r="BN25" s="68" t="e">
        <f>1/BK28</f>
        <v>#N/A</v>
      </c>
      <c r="BO25" s="68" t="e">
        <f>1/BK29</f>
        <v>#N/A</v>
      </c>
      <c r="BP25" s="68" t="e">
        <f>1/BK30</f>
        <v>#N/A</v>
      </c>
      <c r="BQ25" s="68" t="e">
        <f>1/BK31</f>
        <v>#N/A</v>
      </c>
      <c r="BR25" s="68" t="e">
        <f>1/BK32</f>
        <v>#N/A</v>
      </c>
      <c r="BS25" s="68" t="e">
        <f>1/BK33</f>
        <v>#N/A</v>
      </c>
      <c r="BT25" s="68" t="e">
        <f>1/BK34</f>
        <v>#N/A</v>
      </c>
      <c r="BU25" s="68" t="e">
        <f>1/BK35</f>
        <v>#N/A</v>
      </c>
      <c r="BV25" s="68" t="e">
        <f>1/BK36</f>
        <v>#N/A</v>
      </c>
      <c r="BW25" s="55" t="e">
        <f t="shared" si="0"/>
        <v>#N/A</v>
      </c>
      <c r="BX25" s="42"/>
      <c r="BY25" s="42"/>
      <c r="BZ25" s="42"/>
      <c r="CA25" s="42"/>
      <c r="CB25" s="42"/>
      <c r="CC25" s="42"/>
      <c r="CD25" s="42"/>
      <c r="CE25" s="42"/>
      <c r="CF25" s="42"/>
      <c r="CG25" s="42"/>
      <c r="CH25" s="42"/>
      <c r="CI25" s="42"/>
      <c r="CJ25" s="42"/>
      <c r="CK25" s="42"/>
      <c r="CL25" s="42"/>
      <c r="CM25" s="42"/>
      <c r="CN25" s="42"/>
    </row>
    <row r="26" spans="1:92" s="43" customFormat="1" ht="51" customHeight="1">
      <c r="A26" s="42"/>
      <c r="B26" s="46"/>
      <c r="C26" s="42"/>
      <c r="D26" s="42"/>
      <c r="E26" s="38" t="s">
        <v>365</v>
      </c>
      <c r="F26" s="26"/>
      <c r="G26" s="26"/>
      <c r="H26" s="26"/>
      <c r="I26" s="26"/>
      <c r="J26" s="26"/>
      <c r="K26" s="26"/>
      <c r="L26" s="26"/>
      <c r="M26" s="26"/>
      <c r="N26" s="26"/>
      <c r="O26" s="26"/>
      <c r="P26" s="26"/>
      <c r="Q26" s="26"/>
      <c r="R26" s="26"/>
      <c r="S26" s="26"/>
      <c r="T26" s="26"/>
      <c r="U26" s="26"/>
      <c r="V26" s="26"/>
      <c r="W26" s="26"/>
      <c r="X26" s="26"/>
      <c r="Y26" s="26"/>
      <c r="Z26" s="12"/>
      <c r="AA26" s="12"/>
      <c r="AB26" s="12"/>
      <c r="AC26" s="12"/>
      <c r="AD26" s="12"/>
      <c r="AE26" s="12"/>
      <c r="AF26" s="12"/>
      <c r="AG26" s="12"/>
      <c r="AH26" s="12"/>
      <c r="AI26" s="12"/>
      <c r="AJ26" s="12"/>
      <c r="AK26" s="8" t="e">
        <f t="shared" ref="AK26:AK34" si="4">BW26</f>
        <v>#N/A</v>
      </c>
      <c r="AL26" s="52" t="e">
        <f>RANK(AK26,$AK6:$AK36,0)</f>
        <v>#N/A</v>
      </c>
      <c r="AM26" s="47"/>
      <c r="AN26" s="42"/>
      <c r="AO26" s="42"/>
      <c r="AP26" s="42"/>
      <c r="AQ26" s="42"/>
      <c r="AR26" s="56" t="e">
        <f>VLOOKUP(F26, Table2837810[#All], 2, 0)</f>
        <v>#N/A</v>
      </c>
      <c r="AS26" s="56" t="e">
        <f>VLOOKUP(G26, Table2837810[#All], 2, 0)</f>
        <v>#N/A</v>
      </c>
      <c r="AT26" s="56" t="e">
        <f>VLOOKUP(H26, Table2837810[#All], 2, 0)</f>
        <v>#N/A</v>
      </c>
      <c r="AU26" s="56" t="e">
        <f>VLOOKUP(I26, Table2837810[#All], 2, 0)</f>
        <v>#N/A</v>
      </c>
      <c r="AV26" s="56" t="e">
        <f>VLOOKUP(J26, Table2837810[#All], 2, 0)</f>
        <v>#N/A</v>
      </c>
      <c r="AW26" s="56" t="e">
        <f>VLOOKUP(K26, Table2837810[#All], 2, 0)</f>
        <v>#N/A</v>
      </c>
      <c r="AX26" s="56" t="e">
        <f>VLOOKUP(L26, Table2837810[#All], 2, 0)</f>
        <v>#N/A</v>
      </c>
      <c r="AY26" s="56" t="e">
        <f>VLOOKUP(M26, Table2837810[#All], 2, 0)</f>
        <v>#N/A</v>
      </c>
      <c r="AZ26" s="56" t="e">
        <f>VLOOKUP(N26, Table2837810[#All], 2, 0)</f>
        <v>#N/A</v>
      </c>
      <c r="BA26" s="56" t="e">
        <f>VLOOKUP(O26, Table2837810[#All], 2, 0)</f>
        <v>#N/A</v>
      </c>
      <c r="BB26" s="56" t="e">
        <f>VLOOKUP(P26, Table2837810[#All], 2, 0)</f>
        <v>#N/A</v>
      </c>
      <c r="BC26" s="56" t="e">
        <f>VLOOKUP(Q26, Table2837810[#All], 2, 0)</f>
        <v>#N/A</v>
      </c>
      <c r="BD26" s="56" t="e">
        <f>VLOOKUP(R26, Table2837810[#All], 2, 0)</f>
        <v>#N/A</v>
      </c>
      <c r="BE26" s="56" t="e">
        <f>VLOOKUP(S26, Table2837810[#All], 2, 0)</f>
        <v>#N/A</v>
      </c>
      <c r="BF26" s="56" t="e">
        <f>VLOOKUP(T26, Table2837810[#All], 2, 0)</f>
        <v>#N/A</v>
      </c>
      <c r="BG26" s="56" t="e">
        <f>VLOOKUP(U26, Table2837810[#All], 2, 0)</f>
        <v>#N/A</v>
      </c>
      <c r="BH26" s="56" t="e">
        <f>VLOOKUP(V26, Table2837810[#All], 2, 0)</f>
        <v>#N/A</v>
      </c>
      <c r="BI26" s="56" t="e">
        <f>VLOOKUP(W26, Table2837810[#All], 2, 0)</f>
        <v>#N/A</v>
      </c>
      <c r="BJ26" s="56" t="e">
        <f>VLOOKUP(X26, Table2837810[#All], 2, 0)</f>
        <v>#N/A</v>
      </c>
      <c r="BK26" s="56" t="e">
        <f>VLOOKUP(Y26, Table2837810[#All], 2, 0)</f>
        <v>#N/A</v>
      </c>
      <c r="BL26" s="58"/>
      <c r="BM26" s="68" t="e">
        <f>1/BL27</f>
        <v>#N/A</v>
      </c>
      <c r="BN26" s="68" t="e">
        <f>1/BL28</f>
        <v>#N/A</v>
      </c>
      <c r="BO26" s="68" t="e">
        <f>1/BL29</f>
        <v>#N/A</v>
      </c>
      <c r="BP26" s="68" t="e">
        <f>1/BL30</f>
        <v>#N/A</v>
      </c>
      <c r="BQ26" s="68" t="e">
        <f>1/BL31</f>
        <v>#N/A</v>
      </c>
      <c r="BR26" s="68" t="e">
        <f>1/BL32</f>
        <v>#N/A</v>
      </c>
      <c r="BS26" s="68" t="e">
        <f>1/BL33</f>
        <v>#N/A</v>
      </c>
      <c r="BT26" s="68" t="e">
        <f>1/BL34</f>
        <v>#N/A</v>
      </c>
      <c r="BU26" s="68" t="e">
        <f>1/BL35</f>
        <v>#N/A</v>
      </c>
      <c r="BV26" s="68" t="e">
        <f>1/BL36</f>
        <v>#N/A</v>
      </c>
      <c r="BW26" s="55" t="e">
        <f t="shared" si="0"/>
        <v>#N/A</v>
      </c>
      <c r="BX26" s="42"/>
      <c r="BY26" s="42"/>
      <c r="BZ26" s="42"/>
      <c r="CA26" s="42"/>
      <c r="CB26" s="42"/>
      <c r="CC26" s="42"/>
      <c r="CD26" s="42"/>
      <c r="CE26" s="42"/>
      <c r="CF26" s="42"/>
      <c r="CG26" s="42"/>
      <c r="CH26" s="42"/>
      <c r="CI26" s="42"/>
      <c r="CJ26" s="42"/>
      <c r="CK26" s="42"/>
      <c r="CL26" s="42"/>
      <c r="CM26" s="42"/>
      <c r="CN26" s="42"/>
    </row>
    <row r="27" spans="1:92" s="43" customFormat="1" ht="54" customHeight="1">
      <c r="A27" s="42"/>
      <c r="B27" s="46"/>
      <c r="C27" s="42"/>
      <c r="D27" s="42"/>
      <c r="E27" s="38" t="s">
        <v>366</v>
      </c>
      <c r="F27" s="26"/>
      <c r="G27" s="26"/>
      <c r="H27" s="26"/>
      <c r="I27" s="26"/>
      <c r="J27" s="26"/>
      <c r="K27" s="26"/>
      <c r="L27" s="26"/>
      <c r="M27" s="26"/>
      <c r="N27" s="26"/>
      <c r="O27" s="26"/>
      <c r="P27" s="26"/>
      <c r="Q27" s="26"/>
      <c r="R27" s="26"/>
      <c r="S27" s="26"/>
      <c r="T27" s="26"/>
      <c r="U27" s="26"/>
      <c r="V27" s="26"/>
      <c r="W27" s="26"/>
      <c r="X27" s="26"/>
      <c r="Y27" s="26"/>
      <c r="Z27" s="26"/>
      <c r="AA27" s="12"/>
      <c r="AB27" s="12"/>
      <c r="AC27" s="12"/>
      <c r="AD27" s="12"/>
      <c r="AE27" s="12"/>
      <c r="AF27" s="12"/>
      <c r="AG27" s="12"/>
      <c r="AH27" s="12"/>
      <c r="AI27" s="12"/>
      <c r="AJ27" s="12"/>
      <c r="AK27" s="8" t="e">
        <f t="shared" si="4"/>
        <v>#N/A</v>
      </c>
      <c r="AL27" s="52" t="e">
        <f>RANK(AK27,$AK6:$AK36,0)</f>
        <v>#N/A</v>
      </c>
      <c r="AM27" s="47"/>
      <c r="AN27" s="42"/>
      <c r="AO27" s="42"/>
      <c r="AP27" s="42"/>
      <c r="AQ27" s="42"/>
      <c r="AR27" s="56" t="e">
        <f>VLOOKUP(F27, Table2837810[#All], 2, 0)</f>
        <v>#N/A</v>
      </c>
      <c r="AS27" s="56" t="e">
        <f>VLOOKUP(G27, Table2837810[#All], 2, 0)</f>
        <v>#N/A</v>
      </c>
      <c r="AT27" s="56" t="e">
        <f>VLOOKUP(H27, Table2837810[#All], 2, 0)</f>
        <v>#N/A</v>
      </c>
      <c r="AU27" s="56" t="e">
        <f>VLOOKUP(I27, Table2837810[#All], 2, 0)</f>
        <v>#N/A</v>
      </c>
      <c r="AV27" s="56" t="e">
        <f>VLOOKUP(J27, Table2837810[#All], 2, 0)</f>
        <v>#N/A</v>
      </c>
      <c r="AW27" s="56" t="e">
        <f>VLOOKUP(K27, Table2837810[#All], 2, 0)</f>
        <v>#N/A</v>
      </c>
      <c r="AX27" s="56" t="e">
        <f>VLOOKUP(L27, Table2837810[#All], 2, 0)</f>
        <v>#N/A</v>
      </c>
      <c r="AY27" s="56" t="e">
        <f>VLOOKUP(M27, Table2837810[#All], 2, 0)</f>
        <v>#N/A</v>
      </c>
      <c r="AZ27" s="56" t="e">
        <f>VLOOKUP(N27, Table2837810[#All], 2, 0)</f>
        <v>#N/A</v>
      </c>
      <c r="BA27" s="56" t="e">
        <f>VLOOKUP(O27, Table2837810[#All], 2, 0)</f>
        <v>#N/A</v>
      </c>
      <c r="BB27" s="56" t="e">
        <f>VLOOKUP(P27, Table2837810[#All], 2, 0)</f>
        <v>#N/A</v>
      </c>
      <c r="BC27" s="56" t="e">
        <f>VLOOKUP(Q27, Table2837810[#All], 2, 0)</f>
        <v>#N/A</v>
      </c>
      <c r="BD27" s="56" t="e">
        <f>VLOOKUP(R27, Table2837810[#All], 2, 0)</f>
        <v>#N/A</v>
      </c>
      <c r="BE27" s="56" t="e">
        <f>VLOOKUP(S27, Table2837810[#All], 2, 0)</f>
        <v>#N/A</v>
      </c>
      <c r="BF27" s="56" t="e">
        <f>VLOOKUP(T27, Table2837810[#All], 2, 0)</f>
        <v>#N/A</v>
      </c>
      <c r="BG27" s="56" t="e">
        <f>VLOOKUP(U27, Table2837810[#All], 2, 0)</f>
        <v>#N/A</v>
      </c>
      <c r="BH27" s="56" t="e">
        <f>VLOOKUP(V27, Table2837810[#All], 2, 0)</f>
        <v>#N/A</v>
      </c>
      <c r="BI27" s="56" t="e">
        <f>VLOOKUP(W27, Table2837810[#All], 2, 0)</f>
        <v>#N/A</v>
      </c>
      <c r="BJ27" s="56" t="e">
        <f>VLOOKUP(X27, Table2837810[#All], 2, 0)</f>
        <v>#N/A</v>
      </c>
      <c r="BK27" s="56" t="e">
        <f>VLOOKUP(Y27, Table2837810[#All], 2, 0)</f>
        <v>#N/A</v>
      </c>
      <c r="BL27" s="56" t="e">
        <f>VLOOKUP(Z27, Table2837810[#All], 2, 0)</f>
        <v>#N/A</v>
      </c>
      <c r="BM27" s="58"/>
      <c r="BN27" s="68" t="e">
        <f>1/BM28</f>
        <v>#N/A</v>
      </c>
      <c r="BO27" s="68" t="e">
        <f>1/BM29</f>
        <v>#N/A</v>
      </c>
      <c r="BP27" s="68" t="e">
        <f>1/BM30</f>
        <v>#N/A</v>
      </c>
      <c r="BQ27" s="68" t="e">
        <f>1/BM31</f>
        <v>#N/A</v>
      </c>
      <c r="BR27" s="68" t="e">
        <f>1/BM32</f>
        <v>#N/A</v>
      </c>
      <c r="BS27" s="68" t="e">
        <f>1/BM33</f>
        <v>#N/A</v>
      </c>
      <c r="BT27" s="68" t="e">
        <f>1/BM34</f>
        <v>#N/A</v>
      </c>
      <c r="BU27" s="68" t="e">
        <f>1/BM35</f>
        <v>#N/A</v>
      </c>
      <c r="BV27" s="68" t="e">
        <f>1/BM36</f>
        <v>#N/A</v>
      </c>
      <c r="BW27" s="55" t="e">
        <f t="shared" si="0"/>
        <v>#N/A</v>
      </c>
      <c r="BX27" s="42"/>
      <c r="BY27" s="42"/>
      <c r="BZ27" s="42"/>
      <c r="CA27" s="42"/>
      <c r="CB27" s="42"/>
      <c r="CC27" s="42"/>
      <c r="CD27" s="42"/>
      <c r="CE27" s="42"/>
      <c r="CF27" s="42"/>
      <c r="CG27" s="42"/>
      <c r="CH27" s="42"/>
      <c r="CI27" s="42"/>
      <c r="CJ27" s="42"/>
      <c r="CK27" s="42"/>
      <c r="CL27" s="42"/>
      <c r="CM27" s="42"/>
      <c r="CN27" s="42"/>
    </row>
    <row r="28" spans="1:92" s="43" customFormat="1" ht="50.85" customHeight="1">
      <c r="A28" s="42"/>
      <c r="B28" s="46"/>
      <c r="C28" s="42"/>
      <c r="D28" s="42"/>
      <c r="E28" s="38" t="s">
        <v>367</v>
      </c>
      <c r="F28" s="26"/>
      <c r="G28" s="26"/>
      <c r="H28" s="26"/>
      <c r="I28" s="26"/>
      <c r="J28" s="26"/>
      <c r="K28" s="26"/>
      <c r="L28" s="26"/>
      <c r="M28" s="26"/>
      <c r="N28" s="26"/>
      <c r="O28" s="26"/>
      <c r="P28" s="26"/>
      <c r="Q28" s="26"/>
      <c r="R28" s="26"/>
      <c r="S28" s="26"/>
      <c r="T28" s="26"/>
      <c r="U28" s="26"/>
      <c r="V28" s="26"/>
      <c r="W28" s="26"/>
      <c r="X28" s="26"/>
      <c r="Y28" s="26"/>
      <c r="Z28" s="26"/>
      <c r="AA28" s="26"/>
      <c r="AB28" s="12"/>
      <c r="AC28" s="12"/>
      <c r="AD28" s="12"/>
      <c r="AE28" s="12"/>
      <c r="AF28" s="12"/>
      <c r="AG28" s="12"/>
      <c r="AH28" s="12"/>
      <c r="AI28" s="12"/>
      <c r="AJ28" s="12"/>
      <c r="AK28" s="8" t="e">
        <f t="shared" si="4"/>
        <v>#N/A</v>
      </c>
      <c r="AL28" s="52" t="e">
        <f>RANK(AK28,$AK6:$AK36,0)</f>
        <v>#N/A</v>
      </c>
      <c r="AM28" s="47"/>
      <c r="AN28" s="42"/>
      <c r="AO28" s="42"/>
      <c r="AP28" s="42"/>
      <c r="AQ28" s="42"/>
      <c r="AR28" s="56" t="e">
        <f>VLOOKUP(F28, Table2837810[#All], 2, 0)</f>
        <v>#N/A</v>
      </c>
      <c r="AS28" s="56" t="e">
        <f>VLOOKUP(G28, Table2837810[#All], 2, 0)</f>
        <v>#N/A</v>
      </c>
      <c r="AT28" s="56" t="e">
        <f>VLOOKUP(H28, Table2837810[#All], 2, 0)</f>
        <v>#N/A</v>
      </c>
      <c r="AU28" s="56" t="e">
        <f>VLOOKUP(I28, Table2837810[#All], 2, 0)</f>
        <v>#N/A</v>
      </c>
      <c r="AV28" s="56" t="e">
        <f>VLOOKUP(J28, Table2837810[#All], 2, 0)</f>
        <v>#N/A</v>
      </c>
      <c r="AW28" s="56" t="e">
        <f>VLOOKUP(K28, Table2837810[#All], 2, 0)</f>
        <v>#N/A</v>
      </c>
      <c r="AX28" s="56" t="e">
        <f>VLOOKUP(L28, Table2837810[#All], 2, 0)</f>
        <v>#N/A</v>
      </c>
      <c r="AY28" s="56" t="e">
        <f>VLOOKUP(M28, Table2837810[#All], 2, 0)</f>
        <v>#N/A</v>
      </c>
      <c r="AZ28" s="56" t="e">
        <f>VLOOKUP(N28, Table2837810[#All], 2, 0)</f>
        <v>#N/A</v>
      </c>
      <c r="BA28" s="56" t="e">
        <f>VLOOKUP(O28, Table2837810[#All], 2, 0)</f>
        <v>#N/A</v>
      </c>
      <c r="BB28" s="56" t="e">
        <f>VLOOKUP(P28, Table2837810[#All], 2, 0)</f>
        <v>#N/A</v>
      </c>
      <c r="BC28" s="56" t="e">
        <f>VLOOKUP(Q28, Table2837810[#All], 2, 0)</f>
        <v>#N/A</v>
      </c>
      <c r="BD28" s="56" t="e">
        <f>VLOOKUP(R28, Table2837810[#All], 2, 0)</f>
        <v>#N/A</v>
      </c>
      <c r="BE28" s="56" t="e">
        <f>VLOOKUP(S28, Table2837810[#All], 2, 0)</f>
        <v>#N/A</v>
      </c>
      <c r="BF28" s="56" t="e">
        <f>VLOOKUP(T28, Table2837810[#All], 2, 0)</f>
        <v>#N/A</v>
      </c>
      <c r="BG28" s="56" t="e">
        <f>VLOOKUP(U28, Table2837810[#All], 2, 0)</f>
        <v>#N/A</v>
      </c>
      <c r="BH28" s="56" t="e">
        <f>VLOOKUP(V28, Table2837810[#All], 2, 0)</f>
        <v>#N/A</v>
      </c>
      <c r="BI28" s="56" t="e">
        <f>VLOOKUP(W28, Table2837810[#All], 2, 0)</f>
        <v>#N/A</v>
      </c>
      <c r="BJ28" s="56" t="e">
        <f>VLOOKUP(X28, Table2837810[#All], 2, 0)</f>
        <v>#N/A</v>
      </c>
      <c r="BK28" s="56" t="e">
        <f>VLOOKUP(Y28, Table2837810[#All], 2, 0)</f>
        <v>#N/A</v>
      </c>
      <c r="BL28" s="56" t="e">
        <f>VLOOKUP(Z28, Table2837810[#All], 2, 0)</f>
        <v>#N/A</v>
      </c>
      <c r="BM28" s="56" t="e">
        <f>VLOOKUP(AA28, Table2837810[#All], 2, 0)</f>
        <v>#N/A</v>
      </c>
      <c r="BN28" s="58"/>
      <c r="BO28" s="68" t="e">
        <f>1/BN29</f>
        <v>#N/A</v>
      </c>
      <c r="BP28" s="68" t="e">
        <f>1/BN30</f>
        <v>#N/A</v>
      </c>
      <c r="BQ28" s="68" t="e">
        <f>1/BN31</f>
        <v>#N/A</v>
      </c>
      <c r="BR28" s="68" t="e">
        <f>1/BN32</f>
        <v>#N/A</v>
      </c>
      <c r="BS28" s="68" t="e">
        <f>1/BN33</f>
        <v>#N/A</v>
      </c>
      <c r="BT28" s="68" t="e">
        <f>1/BN34</f>
        <v>#N/A</v>
      </c>
      <c r="BU28" s="68" t="e">
        <f>1/BN35</f>
        <v>#N/A</v>
      </c>
      <c r="BV28" s="68" t="e">
        <f>1/BN36</f>
        <v>#N/A</v>
      </c>
      <c r="BW28" s="55" t="e">
        <f t="shared" si="0"/>
        <v>#N/A</v>
      </c>
      <c r="BX28" s="42"/>
      <c r="BY28" s="42"/>
      <c r="BZ28" s="42"/>
      <c r="CA28" s="42"/>
      <c r="CB28" s="42"/>
      <c r="CC28" s="42"/>
      <c r="CD28" s="42"/>
      <c r="CE28" s="42"/>
      <c r="CF28" s="42"/>
      <c r="CG28" s="42"/>
      <c r="CH28" s="42"/>
      <c r="CI28" s="42"/>
      <c r="CJ28" s="42"/>
      <c r="CK28" s="42"/>
      <c r="CL28" s="42"/>
      <c r="CM28" s="42"/>
      <c r="CN28" s="42"/>
    </row>
    <row r="29" spans="1:92" s="43" customFormat="1" ht="49.9" customHeight="1">
      <c r="A29" s="42"/>
      <c r="B29" s="46"/>
      <c r="C29" s="42"/>
      <c r="D29" s="42"/>
      <c r="E29" s="38" t="s">
        <v>368</v>
      </c>
      <c r="F29" s="26"/>
      <c r="G29" s="26"/>
      <c r="H29" s="26"/>
      <c r="I29" s="26"/>
      <c r="J29" s="26"/>
      <c r="K29" s="26"/>
      <c r="L29" s="26"/>
      <c r="M29" s="26"/>
      <c r="N29" s="26"/>
      <c r="O29" s="26"/>
      <c r="P29" s="26"/>
      <c r="Q29" s="26"/>
      <c r="R29" s="26"/>
      <c r="S29" s="26"/>
      <c r="T29" s="26"/>
      <c r="U29" s="26"/>
      <c r="V29" s="26"/>
      <c r="W29" s="26"/>
      <c r="X29" s="26"/>
      <c r="Y29" s="26"/>
      <c r="Z29" s="26"/>
      <c r="AA29" s="26"/>
      <c r="AB29" s="26"/>
      <c r="AC29" s="12"/>
      <c r="AD29" s="12"/>
      <c r="AE29" s="12"/>
      <c r="AF29" s="12"/>
      <c r="AG29" s="12"/>
      <c r="AH29" s="12"/>
      <c r="AI29" s="12"/>
      <c r="AJ29" s="12"/>
      <c r="AK29" s="8" t="e">
        <f t="shared" si="4"/>
        <v>#N/A</v>
      </c>
      <c r="AL29" s="52" t="e">
        <f>RANK(AK29,$AK6:$AK36,0)</f>
        <v>#N/A</v>
      </c>
      <c r="AM29" s="47"/>
      <c r="AN29" s="42"/>
      <c r="AO29" s="42"/>
      <c r="AP29" s="42"/>
      <c r="AQ29" s="42"/>
      <c r="AR29" s="56" t="e">
        <f>VLOOKUP(F29, Table2837810[#All], 2, 0)</f>
        <v>#N/A</v>
      </c>
      <c r="AS29" s="56" t="e">
        <f>VLOOKUP(G29, Table2837810[#All], 2, 0)</f>
        <v>#N/A</v>
      </c>
      <c r="AT29" s="56" t="e">
        <f>VLOOKUP(H29, Table2837810[#All], 2, 0)</f>
        <v>#N/A</v>
      </c>
      <c r="AU29" s="56" t="e">
        <f>VLOOKUP(I29, Table2837810[#All], 2, 0)</f>
        <v>#N/A</v>
      </c>
      <c r="AV29" s="56" t="e">
        <f>VLOOKUP(J29, Table2837810[#All], 2, 0)</f>
        <v>#N/A</v>
      </c>
      <c r="AW29" s="56" t="e">
        <f>VLOOKUP(K29, Table2837810[#All], 2, 0)</f>
        <v>#N/A</v>
      </c>
      <c r="AX29" s="56" t="e">
        <f>VLOOKUP(L29, Table2837810[#All], 2, 0)</f>
        <v>#N/A</v>
      </c>
      <c r="AY29" s="56" t="e">
        <f>VLOOKUP(M29, Table2837810[#All], 2, 0)</f>
        <v>#N/A</v>
      </c>
      <c r="AZ29" s="56" t="e">
        <f>VLOOKUP(N29, Table2837810[#All], 2, 0)</f>
        <v>#N/A</v>
      </c>
      <c r="BA29" s="56" t="e">
        <f>VLOOKUP(O29, Table2837810[#All], 2, 0)</f>
        <v>#N/A</v>
      </c>
      <c r="BB29" s="56" t="e">
        <f>VLOOKUP(P29, Table2837810[#All], 2, 0)</f>
        <v>#N/A</v>
      </c>
      <c r="BC29" s="56" t="e">
        <f>VLOOKUP(Q29, Table2837810[#All], 2, 0)</f>
        <v>#N/A</v>
      </c>
      <c r="BD29" s="56" t="e">
        <f>VLOOKUP(R29, Table2837810[#All], 2, 0)</f>
        <v>#N/A</v>
      </c>
      <c r="BE29" s="56" t="e">
        <f>VLOOKUP(S29, Table2837810[#All], 2, 0)</f>
        <v>#N/A</v>
      </c>
      <c r="BF29" s="56" t="e">
        <f>VLOOKUP(T29, Table2837810[#All], 2, 0)</f>
        <v>#N/A</v>
      </c>
      <c r="BG29" s="56" t="e">
        <f>VLOOKUP(U29, Table2837810[#All], 2, 0)</f>
        <v>#N/A</v>
      </c>
      <c r="BH29" s="56" t="e">
        <f>VLOOKUP(V29, Table2837810[#All], 2, 0)</f>
        <v>#N/A</v>
      </c>
      <c r="BI29" s="56" t="e">
        <f>VLOOKUP(W29, Table2837810[#All], 2, 0)</f>
        <v>#N/A</v>
      </c>
      <c r="BJ29" s="56" t="e">
        <f>VLOOKUP(X29, Table2837810[#All], 2, 0)</f>
        <v>#N/A</v>
      </c>
      <c r="BK29" s="56" t="e">
        <f>VLOOKUP(Y29, Table2837810[#All], 2, 0)</f>
        <v>#N/A</v>
      </c>
      <c r="BL29" s="56" t="e">
        <f>VLOOKUP(Z29, Table2837810[#All], 2, 0)</f>
        <v>#N/A</v>
      </c>
      <c r="BM29" s="56" t="e">
        <f>VLOOKUP(AA29, Table2837810[#All], 2, 0)</f>
        <v>#N/A</v>
      </c>
      <c r="BN29" s="56" t="e">
        <f>VLOOKUP(AB29, Table2837810[#All], 2, 0)</f>
        <v>#N/A</v>
      </c>
      <c r="BO29" s="58"/>
      <c r="BP29" s="68" t="e">
        <f>1/BO30</f>
        <v>#N/A</v>
      </c>
      <c r="BQ29" s="68" t="e">
        <f>1/BO31</f>
        <v>#N/A</v>
      </c>
      <c r="BR29" s="68" t="e">
        <f>1/BO32</f>
        <v>#N/A</v>
      </c>
      <c r="BS29" s="68" t="e">
        <f>1/BO33</f>
        <v>#N/A</v>
      </c>
      <c r="BT29" s="68" t="e">
        <f>1/BO34</f>
        <v>#N/A</v>
      </c>
      <c r="BU29" s="68" t="e">
        <f>1/BO35</f>
        <v>#N/A</v>
      </c>
      <c r="BV29" s="68" t="e">
        <f>1/BO36</f>
        <v>#N/A</v>
      </c>
      <c r="BW29" s="55" t="e">
        <f t="shared" si="0"/>
        <v>#N/A</v>
      </c>
      <c r="BX29" s="42"/>
      <c r="BY29" s="42"/>
      <c r="BZ29" s="42"/>
      <c r="CA29" s="42"/>
      <c r="CB29" s="42"/>
      <c r="CC29" s="42"/>
      <c r="CD29" s="42"/>
      <c r="CE29" s="42"/>
      <c r="CF29" s="42"/>
      <c r="CG29" s="42"/>
      <c r="CH29" s="42"/>
      <c r="CI29" s="42"/>
      <c r="CJ29" s="42"/>
      <c r="CK29" s="42"/>
      <c r="CL29" s="42"/>
      <c r="CM29" s="42"/>
      <c r="CN29" s="42"/>
    </row>
    <row r="30" spans="1:92" s="43" customFormat="1" ht="49.35" customHeight="1">
      <c r="A30" s="42"/>
      <c r="B30" s="46"/>
      <c r="C30" s="42"/>
      <c r="D30" s="42"/>
      <c r="E30" s="38" t="s">
        <v>150</v>
      </c>
      <c r="F30" s="26"/>
      <c r="G30" s="26"/>
      <c r="H30" s="26"/>
      <c r="I30" s="26"/>
      <c r="J30" s="26"/>
      <c r="K30" s="26"/>
      <c r="L30" s="26"/>
      <c r="M30" s="26"/>
      <c r="N30" s="26"/>
      <c r="O30" s="26"/>
      <c r="P30" s="26"/>
      <c r="Q30" s="26"/>
      <c r="R30" s="26"/>
      <c r="S30" s="26"/>
      <c r="T30" s="26"/>
      <c r="U30" s="26"/>
      <c r="V30" s="26"/>
      <c r="W30" s="26"/>
      <c r="X30" s="26"/>
      <c r="Y30" s="26"/>
      <c r="Z30" s="26"/>
      <c r="AA30" s="26"/>
      <c r="AB30" s="26"/>
      <c r="AC30" s="26"/>
      <c r="AD30" s="12"/>
      <c r="AE30" s="12"/>
      <c r="AF30" s="12"/>
      <c r="AG30" s="12"/>
      <c r="AH30" s="12"/>
      <c r="AI30" s="12"/>
      <c r="AJ30" s="12"/>
      <c r="AK30" s="8" t="e">
        <f t="shared" si="4"/>
        <v>#N/A</v>
      </c>
      <c r="AL30" s="52" t="e">
        <f>RANK(AK30,$AK6:$AK36,0)</f>
        <v>#N/A</v>
      </c>
      <c r="AM30" s="47"/>
      <c r="AN30" s="42"/>
      <c r="AO30" s="42"/>
      <c r="AP30" s="42"/>
      <c r="AQ30" s="42"/>
      <c r="AR30" s="56" t="e">
        <f>VLOOKUP(F30, Table2837810[#All], 2, 0)</f>
        <v>#N/A</v>
      </c>
      <c r="AS30" s="56" t="e">
        <f>VLOOKUP(G30, Table2837810[#All], 2, 0)</f>
        <v>#N/A</v>
      </c>
      <c r="AT30" s="56" t="e">
        <f>VLOOKUP(H30, Table2837810[#All], 2, 0)</f>
        <v>#N/A</v>
      </c>
      <c r="AU30" s="56" t="e">
        <f>VLOOKUP(I30, Table2837810[#All], 2, 0)</f>
        <v>#N/A</v>
      </c>
      <c r="AV30" s="56" t="e">
        <f>VLOOKUP(J30, Table2837810[#All], 2, 0)</f>
        <v>#N/A</v>
      </c>
      <c r="AW30" s="56" t="e">
        <f>VLOOKUP(K30, Table2837810[#All], 2, 0)</f>
        <v>#N/A</v>
      </c>
      <c r="AX30" s="56" t="e">
        <f>VLOOKUP(L30, Table2837810[#All], 2, 0)</f>
        <v>#N/A</v>
      </c>
      <c r="AY30" s="56" t="e">
        <f>VLOOKUP(M30, Table2837810[#All], 2, 0)</f>
        <v>#N/A</v>
      </c>
      <c r="AZ30" s="56" t="e">
        <f>VLOOKUP(N30, Table2837810[#All], 2, 0)</f>
        <v>#N/A</v>
      </c>
      <c r="BA30" s="56" t="e">
        <f>VLOOKUP(O30, Table2837810[#All], 2, 0)</f>
        <v>#N/A</v>
      </c>
      <c r="BB30" s="56" t="e">
        <f>VLOOKUP(P30, Table2837810[#All], 2, 0)</f>
        <v>#N/A</v>
      </c>
      <c r="BC30" s="56" t="e">
        <f>VLOOKUP(Q30, Table2837810[#All], 2, 0)</f>
        <v>#N/A</v>
      </c>
      <c r="BD30" s="56" t="e">
        <f>VLOOKUP(R30, Table2837810[#All], 2, 0)</f>
        <v>#N/A</v>
      </c>
      <c r="BE30" s="56" t="e">
        <f>VLOOKUP(S30, Table2837810[#All], 2, 0)</f>
        <v>#N/A</v>
      </c>
      <c r="BF30" s="56" t="e">
        <f>VLOOKUP(T30, Table2837810[#All], 2, 0)</f>
        <v>#N/A</v>
      </c>
      <c r="BG30" s="56" t="e">
        <f>VLOOKUP(U30, Table2837810[#All], 2, 0)</f>
        <v>#N/A</v>
      </c>
      <c r="BH30" s="56" t="e">
        <f>VLOOKUP(V30, Table2837810[#All], 2, 0)</f>
        <v>#N/A</v>
      </c>
      <c r="BI30" s="56" t="e">
        <f>VLOOKUP(W30, Table2837810[#All], 2, 0)</f>
        <v>#N/A</v>
      </c>
      <c r="BJ30" s="56" t="e">
        <f>VLOOKUP(X30, Table2837810[#All], 2, 0)</f>
        <v>#N/A</v>
      </c>
      <c r="BK30" s="56" t="e">
        <f>VLOOKUP(Y30, Table2837810[#All], 2, 0)</f>
        <v>#N/A</v>
      </c>
      <c r="BL30" s="56" t="e">
        <f>VLOOKUP(Z30, Table2837810[#All], 2, 0)</f>
        <v>#N/A</v>
      </c>
      <c r="BM30" s="56" t="e">
        <f>VLOOKUP(AA30, Table2837810[#All], 2, 0)</f>
        <v>#N/A</v>
      </c>
      <c r="BN30" s="56" t="e">
        <f>VLOOKUP(AB30, Table2837810[#All], 2, 0)</f>
        <v>#N/A</v>
      </c>
      <c r="BO30" s="56" t="e">
        <f>VLOOKUP(AC30, Table2837810[#All], 2, 0)</f>
        <v>#N/A</v>
      </c>
      <c r="BP30" s="58"/>
      <c r="BQ30" s="68" t="e">
        <f>1/BP31</f>
        <v>#N/A</v>
      </c>
      <c r="BR30" s="68" t="e">
        <f>1/BP32</f>
        <v>#N/A</v>
      </c>
      <c r="BS30" s="68" t="e">
        <f>1/BP33</f>
        <v>#N/A</v>
      </c>
      <c r="BT30" s="68" t="e">
        <f>1/BP34</f>
        <v>#N/A</v>
      </c>
      <c r="BU30" s="68" t="e">
        <f>1/BP35</f>
        <v>#N/A</v>
      </c>
      <c r="BV30" s="68" t="e">
        <f>1/BP36</f>
        <v>#N/A</v>
      </c>
      <c r="BW30" s="55" t="e">
        <f t="shared" si="0"/>
        <v>#N/A</v>
      </c>
      <c r="BX30" s="42"/>
      <c r="BY30" s="42"/>
      <c r="BZ30" s="42"/>
      <c r="CA30" s="42"/>
      <c r="CB30" s="42"/>
      <c r="CC30" s="42"/>
      <c r="CD30" s="42"/>
      <c r="CE30" s="42"/>
      <c r="CF30" s="42"/>
      <c r="CG30" s="42"/>
      <c r="CH30" s="42"/>
      <c r="CI30" s="42"/>
      <c r="CJ30" s="42"/>
      <c r="CK30" s="42"/>
      <c r="CL30" s="42"/>
      <c r="CM30" s="42"/>
      <c r="CN30" s="42"/>
    </row>
    <row r="31" spans="1:92" s="43" customFormat="1" ht="39.950000000000003" customHeight="1">
      <c r="A31" s="42"/>
      <c r="B31" s="46"/>
      <c r="C31" s="42"/>
      <c r="D31" s="42"/>
      <c r="E31" s="38" t="s">
        <v>369</v>
      </c>
      <c r="F31" s="26"/>
      <c r="G31" s="26"/>
      <c r="H31" s="26"/>
      <c r="I31" s="26"/>
      <c r="J31" s="26"/>
      <c r="K31" s="26"/>
      <c r="L31" s="26"/>
      <c r="M31" s="26"/>
      <c r="N31" s="26"/>
      <c r="O31" s="26"/>
      <c r="P31" s="26"/>
      <c r="Q31" s="26"/>
      <c r="R31" s="26"/>
      <c r="S31" s="26"/>
      <c r="T31" s="26"/>
      <c r="U31" s="26"/>
      <c r="V31" s="26"/>
      <c r="W31" s="26"/>
      <c r="X31" s="26"/>
      <c r="Y31" s="26"/>
      <c r="Z31" s="26"/>
      <c r="AA31" s="26"/>
      <c r="AB31" s="26"/>
      <c r="AC31" s="26"/>
      <c r="AD31" s="26"/>
      <c r="AE31" s="12"/>
      <c r="AF31" s="12"/>
      <c r="AG31" s="12"/>
      <c r="AH31" s="12"/>
      <c r="AI31" s="12"/>
      <c r="AJ31" s="12"/>
      <c r="AK31" s="8" t="e">
        <f t="shared" si="4"/>
        <v>#N/A</v>
      </c>
      <c r="AL31" s="52" t="e">
        <f>RANK(AK31,$AK6:$AK36,0)</f>
        <v>#N/A</v>
      </c>
      <c r="AM31" s="47"/>
      <c r="AN31" s="42"/>
      <c r="AO31" s="42"/>
      <c r="AP31" s="42"/>
      <c r="AQ31" s="42"/>
      <c r="AR31" s="56" t="e">
        <f>VLOOKUP(F31, Table2837810[#All], 2, 0)</f>
        <v>#N/A</v>
      </c>
      <c r="AS31" s="56" t="e">
        <f>VLOOKUP(G31, Table2837810[#All], 2, 0)</f>
        <v>#N/A</v>
      </c>
      <c r="AT31" s="56" t="e">
        <f>VLOOKUP(H31, Table2837810[#All], 2, 0)</f>
        <v>#N/A</v>
      </c>
      <c r="AU31" s="56" t="e">
        <f>VLOOKUP(I31, Table2837810[#All], 2, 0)</f>
        <v>#N/A</v>
      </c>
      <c r="AV31" s="56" t="e">
        <f>VLOOKUP(J31, Table2837810[#All], 2, 0)</f>
        <v>#N/A</v>
      </c>
      <c r="AW31" s="56" t="e">
        <f>VLOOKUP(K31, Table2837810[#All], 2, 0)</f>
        <v>#N/A</v>
      </c>
      <c r="AX31" s="56" t="e">
        <f>VLOOKUP(L31, Table2837810[#All], 2, 0)</f>
        <v>#N/A</v>
      </c>
      <c r="AY31" s="56" t="e">
        <f>VLOOKUP(M31, Table2837810[#All], 2, 0)</f>
        <v>#N/A</v>
      </c>
      <c r="AZ31" s="56" t="e">
        <f>VLOOKUP(N31, Table2837810[#All], 2, 0)</f>
        <v>#N/A</v>
      </c>
      <c r="BA31" s="56" t="e">
        <f>VLOOKUP(O31, Table2837810[#All], 2, 0)</f>
        <v>#N/A</v>
      </c>
      <c r="BB31" s="56" t="e">
        <f>VLOOKUP(P31, Table2837810[#All], 2, 0)</f>
        <v>#N/A</v>
      </c>
      <c r="BC31" s="56" t="e">
        <f>VLOOKUP(Q31, Table2837810[#All], 2, 0)</f>
        <v>#N/A</v>
      </c>
      <c r="BD31" s="56" t="e">
        <f>VLOOKUP(R31, Table2837810[#All], 2, 0)</f>
        <v>#N/A</v>
      </c>
      <c r="BE31" s="56" t="e">
        <f>VLOOKUP(S31, Table2837810[#All], 2, 0)</f>
        <v>#N/A</v>
      </c>
      <c r="BF31" s="56" t="e">
        <f>VLOOKUP(T31, Table2837810[#All], 2, 0)</f>
        <v>#N/A</v>
      </c>
      <c r="BG31" s="56" t="e">
        <f>VLOOKUP(U31, Table2837810[#All], 2, 0)</f>
        <v>#N/A</v>
      </c>
      <c r="BH31" s="56" t="e">
        <f>VLOOKUP(V31, Table2837810[#All], 2, 0)</f>
        <v>#N/A</v>
      </c>
      <c r="BI31" s="56" t="e">
        <f>VLOOKUP(W31, Table2837810[#All], 2, 0)</f>
        <v>#N/A</v>
      </c>
      <c r="BJ31" s="56" t="e">
        <f>VLOOKUP(X31, Table2837810[#All], 2, 0)</f>
        <v>#N/A</v>
      </c>
      <c r="BK31" s="56" t="e">
        <f>VLOOKUP(Y31, Table2837810[#All], 2, 0)</f>
        <v>#N/A</v>
      </c>
      <c r="BL31" s="56" t="e">
        <f>VLOOKUP(Z31, Table2837810[#All], 2, 0)</f>
        <v>#N/A</v>
      </c>
      <c r="BM31" s="56" t="e">
        <f>VLOOKUP(AA31, Table2837810[#All], 2, 0)</f>
        <v>#N/A</v>
      </c>
      <c r="BN31" s="56" t="e">
        <f>VLOOKUP(AB31, Table2837810[#All], 2, 0)</f>
        <v>#N/A</v>
      </c>
      <c r="BO31" s="56" t="e">
        <f>VLOOKUP(AC31, Table2837810[#All], 2, 0)</f>
        <v>#N/A</v>
      </c>
      <c r="BP31" s="56" t="e">
        <f>VLOOKUP(AD31, Table2837810[#All], 2, 0)</f>
        <v>#N/A</v>
      </c>
      <c r="BQ31" s="58"/>
      <c r="BR31" s="68" t="e">
        <f>1/BQ32</f>
        <v>#N/A</v>
      </c>
      <c r="BS31" s="68" t="e">
        <f>1/BQ33</f>
        <v>#N/A</v>
      </c>
      <c r="BT31" s="68" t="e">
        <f>1/BQ34</f>
        <v>#N/A</v>
      </c>
      <c r="BU31" s="68" t="e">
        <f>1/BQ35</f>
        <v>#N/A</v>
      </c>
      <c r="BV31" s="68" t="e">
        <f>1/BQ36</f>
        <v>#N/A</v>
      </c>
      <c r="BW31" s="55" t="e">
        <f t="shared" si="0"/>
        <v>#N/A</v>
      </c>
      <c r="BX31" s="42"/>
      <c r="BY31" s="42"/>
      <c r="BZ31" s="42"/>
      <c r="CA31" s="42"/>
      <c r="CB31" s="42"/>
      <c r="CC31" s="42"/>
      <c r="CD31" s="42"/>
      <c r="CE31" s="42"/>
      <c r="CF31" s="42"/>
      <c r="CG31" s="42"/>
      <c r="CH31" s="42"/>
      <c r="CI31" s="42"/>
      <c r="CJ31" s="42"/>
      <c r="CK31" s="42"/>
      <c r="CL31" s="42"/>
      <c r="CM31" s="42"/>
      <c r="CN31" s="42"/>
    </row>
    <row r="32" spans="1:92" s="43" customFormat="1" ht="53.45" customHeight="1">
      <c r="A32" s="42"/>
      <c r="B32" s="46"/>
      <c r="C32" s="42"/>
      <c r="D32" s="42"/>
      <c r="E32" s="38" t="s">
        <v>370</v>
      </c>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12"/>
      <c r="AG32" s="12"/>
      <c r="AH32" s="12"/>
      <c r="AI32" s="12"/>
      <c r="AJ32" s="12"/>
      <c r="AK32" s="8" t="e">
        <f t="shared" si="4"/>
        <v>#N/A</v>
      </c>
      <c r="AL32" s="52" t="e">
        <f>RANK(AK32,$AK6:$AK36,0)</f>
        <v>#N/A</v>
      </c>
      <c r="AM32" s="47"/>
      <c r="AN32" s="42"/>
      <c r="AO32" s="42"/>
      <c r="AP32" s="42"/>
      <c r="AQ32" s="42"/>
      <c r="AR32" s="56" t="e">
        <f>VLOOKUP(F32, Table2837810[#All], 2, 0)</f>
        <v>#N/A</v>
      </c>
      <c r="AS32" s="56" t="e">
        <f>VLOOKUP(G32, Table2837810[#All], 2, 0)</f>
        <v>#N/A</v>
      </c>
      <c r="AT32" s="56" t="e">
        <f>VLOOKUP(H32, Table2837810[#All], 2, 0)</f>
        <v>#N/A</v>
      </c>
      <c r="AU32" s="56" t="e">
        <f>VLOOKUP(I32, Table2837810[#All], 2, 0)</f>
        <v>#N/A</v>
      </c>
      <c r="AV32" s="56" t="e">
        <f>VLOOKUP(J32, Table2837810[#All], 2, 0)</f>
        <v>#N/A</v>
      </c>
      <c r="AW32" s="56" t="e">
        <f>VLOOKUP(K32, Table2837810[#All], 2, 0)</f>
        <v>#N/A</v>
      </c>
      <c r="AX32" s="56" t="e">
        <f>VLOOKUP(L32, Table2837810[#All], 2, 0)</f>
        <v>#N/A</v>
      </c>
      <c r="AY32" s="56" t="e">
        <f>VLOOKUP(M32, Table2837810[#All], 2, 0)</f>
        <v>#N/A</v>
      </c>
      <c r="AZ32" s="56" t="e">
        <f>VLOOKUP(N32, Table2837810[#All], 2, 0)</f>
        <v>#N/A</v>
      </c>
      <c r="BA32" s="56" t="e">
        <f>VLOOKUP(O32, Table2837810[#All], 2, 0)</f>
        <v>#N/A</v>
      </c>
      <c r="BB32" s="56" t="e">
        <f>VLOOKUP(P32, Table2837810[#All], 2, 0)</f>
        <v>#N/A</v>
      </c>
      <c r="BC32" s="56" t="e">
        <f>VLOOKUP(Q32, Table2837810[#All], 2, 0)</f>
        <v>#N/A</v>
      </c>
      <c r="BD32" s="56" t="e">
        <f>VLOOKUP(R32, Table2837810[#All], 2, 0)</f>
        <v>#N/A</v>
      </c>
      <c r="BE32" s="56" t="e">
        <f>VLOOKUP(S32, Table2837810[#All], 2, 0)</f>
        <v>#N/A</v>
      </c>
      <c r="BF32" s="56" t="e">
        <f>VLOOKUP(T32, Table2837810[#All], 2, 0)</f>
        <v>#N/A</v>
      </c>
      <c r="BG32" s="56" t="e">
        <f>VLOOKUP(U32, Table2837810[#All], 2, 0)</f>
        <v>#N/A</v>
      </c>
      <c r="BH32" s="56" t="e">
        <f>VLOOKUP(V32, Table2837810[#All], 2, 0)</f>
        <v>#N/A</v>
      </c>
      <c r="BI32" s="56" t="e">
        <f>VLOOKUP(W32, Table2837810[#All], 2, 0)</f>
        <v>#N/A</v>
      </c>
      <c r="BJ32" s="56" t="e">
        <f>VLOOKUP(X32, Table2837810[#All], 2, 0)</f>
        <v>#N/A</v>
      </c>
      <c r="BK32" s="56" t="e">
        <f>VLOOKUP(Y32, Table2837810[#All], 2, 0)</f>
        <v>#N/A</v>
      </c>
      <c r="BL32" s="56" t="e">
        <f>VLOOKUP(Z32, Table2837810[#All], 2, 0)</f>
        <v>#N/A</v>
      </c>
      <c r="BM32" s="56" t="e">
        <f>VLOOKUP(AA32, Table2837810[#All], 2, 0)</f>
        <v>#N/A</v>
      </c>
      <c r="BN32" s="56" t="e">
        <f>VLOOKUP(AB32, Table2837810[#All], 2, 0)</f>
        <v>#N/A</v>
      </c>
      <c r="BO32" s="56" t="e">
        <f>VLOOKUP(AC32, Table2837810[#All], 2, 0)</f>
        <v>#N/A</v>
      </c>
      <c r="BP32" s="56" t="e">
        <f>VLOOKUP(AD32, Table2837810[#All], 2, 0)</f>
        <v>#N/A</v>
      </c>
      <c r="BQ32" s="56" t="e">
        <f>VLOOKUP(AE32, Table2837810[#All], 2, 0)</f>
        <v>#N/A</v>
      </c>
      <c r="BR32" s="58"/>
      <c r="BS32" s="68" t="e">
        <f>1/BR33</f>
        <v>#N/A</v>
      </c>
      <c r="BT32" s="68" t="e">
        <f>1/BR34</f>
        <v>#N/A</v>
      </c>
      <c r="BU32" s="68" t="e">
        <f>1/BR35</f>
        <v>#N/A</v>
      </c>
      <c r="BV32" s="68" t="e">
        <f>1/BR36</f>
        <v>#N/A</v>
      </c>
      <c r="BW32" s="55" t="e">
        <f t="shared" si="0"/>
        <v>#N/A</v>
      </c>
      <c r="BX32" s="42"/>
      <c r="BY32" s="42"/>
      <c r="BZ32" s="42"/>
      <c r="CA32" s="42"/>
      <c r="CB32" s="42"/>
      <c r="CC32" s="42"/>
      <c r="CD32" s="42"/>
      <c r="CE32" s="42"/>
      <c r="CF32" s="42"/>
      <c r="CG32" s="42"/>
      <c r="CH32" s="42"/>
      <c r="CI32" s="42"/>
      <c r="CJ32" s="42"/>
      <c r="CK32" s="42"/>
      <c r="CL32" s="42"/>
      <c r="CM32" s="42"/>
      <c r="CN32" s="42"/>
    </row>
    <row r="33" spans="1:92" s="43" customFormat="1" ht="39.950000000000003" customHeight="1">
      <c r="A33" s="42"/>
      <c r="B33" s="46"/>
      <c r="C33" s="42"/>
      <c r="D33" s="42"/>
      <c r="E33" s="38" t="s">
        <v>371</v>
      </c>
      <c r="F33" s="26"/>
      <c r="G33" s="26"/>
      <c r="H33" s="26"/>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12"/>
      <c r="AH33" s="12"/>
      <c r="AI33" s="12"/>
      <c r="AJ33" s="12"/>
      <c r="AK33" s="8" t="e">
        <f t="shared" si="4"/>
        <v>#N/A</v>
      </c>
      <c r="AL33" s="52" t="e">
        <f>RANK(AK33,$AK6:$AK36,0)</f>
        <v>#N/A</v>
      </c>
      <c r="AM33" s="47"/>
      <c r="AN33" s="42"/>
      <c r="AO33" s="42"/>
      <c r="AP33" s="42"/>
      <c r="AQ33" s="42"/>
      <c r="AR33" s="56" t="e">
        <f>VLOOKUP(F33, Table2837810[#All], 2, 0)</f>
        <v>#N/A</v>
      </c>
      <c r="AS33" s="56" t="e">
        <f>VLOOKUP(G33, Table2837810[#All], 2, 0)</f>
        <v>#N/A</v>
      </c>
      <c r="AT33" s="56" t="e">
        <f>VLOOKUP(H33, Table2837810[#All], 2, 0)</f>
        <v>#N/A</v>
      </c>
      <c r="AU33" s="56" t="e">
        <f>VLOOKUP(I33, Table2837810[#All], 2, 0)</f>
        <v>#N/A</v>
      </c>
      <c r="AV33" s="56" t="e">
        <f>VLOOKUP(J33, Table2837810[#All], 2, 0)</f>
        <v>#N/A</v>
      </c>
      <c r="AW33" s="56" t="e">
        <f>VLOOKUP(K33, Table2837810[#All], 2, 0)</f>
        <v>#N/A</v>
      </c>
      <c r="AX33" s="56" t="e">
        <f>VLOOKUP(L33, Table2837810[#All], 2, 0)</f>
        <v>#N/A</v>
      </c>
      <c r="AY33" s="56" t="e">
        <f>VLOOKUP(M33, Table2837810[#All], 2, 0)</f>
        <v>#N/A</v>
      </c>
      <c r="AZ33" s="56" t="e">
        <f>VLOOKUP(N33, Table2837810[#All], 2, 0)</f>
        <v>#N/A</v>
      </c>
      <c r="BA33" s="56" t="e">
        <f>VLOOKUP(O33, Table2837810[#All], 2, 0)</f>
        <v>#N/A</v>
      </c>
      <c r="BB33" s="56" t="e">
        <f>VLOOKUP(P33, Table2837810[#All], 2, 0)</f>
        <v>#N/A</v>
      </c>
      <c r="BC33" s="56" t="e">
        <f>VLOOKUP(Q33, Table2837810[#All], 2, 0)</f>
        <v>#N/A</v>
      </c>
      <c r="BD33" s="56" t="e">
        <f>VLOOKUP(R33, Table2837810[#All], 2, 0)</f>
        <v>#N/A</v>
      </c>
      <c r="BE33" s="56" t="e">
        <f>VLOOKUP(S33, Table2837810[#All], 2, 0)</f>
        <v>#N/A</v>
      </c>
      <c r="BF33" s="56" t="e">
        <f>VLOOKUP(T33, Table2837810[#All], 2, 0)</f>
        <v>#N/A</v>
      </c>
      <c r="BG33" s="56" t="e">
        <f>VLOOKUP(U33, Table2837810[#All], 2, 0)</f>
        <v>#N/A</v>
      </c>
      <c r="BH33" s="56" t="e">
        <f>VLOOKUP(V33, Table2837810[#All], 2, 0)</f>
        <v>#N/A</v>
      </c>
      <c r="BI33" s="56" t="e">
        <f>VLOOKUP(W33, Table2837810[#All], 2, 0)</f>
        <v>#N/A</v>
      </c>
      <c r="BJ33" s="56" t="e">
        <f>VLOOKUP(X33, Table2837810[#All], 2, 0)</f>
        <v>#N/A</v>
      </c>
      <c r="BK33" s="56" t="e">
        <f>VLOOKUP(Y33, Table2837810[#All], 2, 0)</f>
        <v>#N/A</v>
      </c>
      <c r="BL33" s="56" t="e">
        <f>VLOOKUP(Z33, Table2837810[#All], 2, 0)</f>
        <v>#N/A</v>
      </c>
      <c r="BM33" s="56" t="e">
        <f>VLOOKUP(AA33, Table2837810[#All], 2, 0)</f>
        <v>#N/A</v>
      </c>
      <c r="BN33" s="56" t="e">
        <f>VLOOKUP(AB33, Table2837810[#All], 2, 0)</f>
        <v>#N/A</v>
      </c>
      <c r="BO33" s="56" t="e">
        <f>VLOOKUP(AC33, Table2837810[#All], 2, 0)</f>
        <v>#N/A</v>
      </c>
      <c r="BP33" s="56" t="e">
        <f>VLOOKUP(AD33, Table2837810[#All], 2, 0)</f>
        <v>#N/A</v>
      </c>
      <c r="BQ33" s="56" t="e">
        <f>VLOOKUP(AE33, Table2837810[#All], 2, 0)</f>
        <v>#N/A</v>
      </c>
      <c r="BR33" s="56" t="e">
        <f>VLOOKUP(AF33, Table2837810[#All], 2, 0)</f>
        <v>#N/A</v>
      </c>
      <c r="BS33" s="58"/>
      <c r="BT33" s="68" t="e">
        <f>1/BS34</f>
        <v>#N/A</v>
      </c>
      <c r="BU33" s="68" t="e">
        <f>1/BS35</f>
        <v>#N/A</v>
      </c>
      <c r="BV33" s="68" t="e">
        <f>1/BS36</f>
        <v>#N/A</v>
      </c>
      <c r="BW33" s="55" t="e">
        <f t="shared" si="0"/>
        <v>#N/A</v>
      </c>
      <c r="BX33" s="42"/>
      <c r="BY33" s="42"/>
      <c r="BZ33" s="42"/>
      <c r="CA33" s="42"/>
      <c r="CB33" s="42"/>
      <c r="CC33" s="42"/>
      <c r="CD33" s="42"/>
      <c r="CE33" s="42"/>
      <c r="CF33" s="42"/>
      <c r="CG33" s="42"/>
      <c r="CH33" s="42"/>
      <c r="CI33" s="42"/>
      <c r="CJ33" s="42"/>
      <c r="CK33" s="42"/>
      <c r="CL33" s="42"/>
      <c r="CM33" s="42"/>
      <c r="CN33" s="42"/>
    </row>
    <row r="34" spans="1:92" s="60" customFormat="1" ht="56.45" customHeight="1">
      <c r="A34" s="42"/>
      <c r="B34" s="46"/>
      <c r="C34" s="42"/>
      <c r="D34" s="42"/>
      <c r="E34" s="38" t="s">
        <v>372</v>
      </c>
      <c r="F34" s="26"/>
      <c r="G34" s="26"/>
      <c r="H34" s="26"/>
      <c r="I34" s="26"/>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12"/>
      <c r="AI34" s="12"/>
      <c r="AJ34" s="12"/>
      <c r="AK34" s="8" t="e">
        <f t="shared" si="4"/>
        <v>#N/A</v>
      </c>
      <c r="AL34" s="52" t="e">
        <f>RANK(AK34,$AK6:$AK36,0)</f>
        <v>#N/A</v>
      </c>
      <c r="AM34" s="47"/>
      <c r="AN34" s="42"/>
      <c r="AO34" s="42"/>
      <c r="AP34" s="42"/>
      <c r="AQ34" s="42"/>
      <c r="AR34" s="56" t="e">
        <f>VLOOKUP(F34, Table2837810[#All], 2, 0)</f>
        <v>#N/A</v>
      </c>
      <c r="AS34" s="56" t="e">
        <f>VLOOKUP(G34, Table2837810[#All], 2, 0)</f>
        <v>#N/A</v>
      </c>
      <c r="AT34" s="56" t="e">
        <f>VLOOKUP(H34, Table2837810[#All], 2, 0)</f>
        <v>#N/A</v>
      </c>
      <c r="AU34" s="56" t="e">
        <f>VLOOKUP(I34, Table2837810[#All], 2, 0)</f>
        <v>#N/A</v>
      </c>
      <c r="AV34" s="56" t="e">
        <f>VLOOKUP(J34, Table2837810[#All], 2, 0)</f>
        <v>#N/A</v>
      </c>
      <c r="AW34" s="56" t="e">
        <f>VLOOKUP(K34, Table2837810[#All], 2, 0)</f>
        <v>#N/A</v>
      </c>
      <c r="AX34" s="56" t="e">
        <f>VLOOKUP(L34, Table2837810[#All], 2, 0)</f>
        <v>#N/A</v>
      </c>
      <c r="AY34" s="56" t="e">
        <f>VLOOKUP(M34, Table2837810[#All], 2, 0)</f>
        <v>#N/A</v>
      </c>
      <c r="AZ34" s="56" t="e">
        <f>VLOOKUP(N34, Table2837810[#All], 2, 0)</f>
        <v>#N/A</v>
      </c>
      <c r="BA34" s="56" t="e">
        <f>VLOOKUP(O34, Table2837810[#All], 2, 0)</f>
        <v>#N/A</v>
      </c>
      <c r="BB34" s="56" t="e">
        <f>VLOOKUP(P34, Table2837810[#All], 2, 0)</f>
        <v>#N/A</v>
      </c>
      <c r="BC34" s="56" t="e">
        <f>VLOOKUP(Q34, Table2837810[#All], 2, 0)</f>
        <v>#N/A</v>
      </c>
      <c r="BD34" s="56" t="e">
        <f>VLOOKUP(R34, Table2837810[#All], 2, 0)</f>
        <v>#N/A</v>
      </c>
      <c r="BE34" s="56" t="e">
        <f>VLOOKUP(S34, Table2837810[#All], 2, 0)</f>
        <v>#N/A</v>
      </c>
      <c r="BF34" s="56" t="e">
        <f>VLOOKUP(T34, Table2837810[#All], 2, 0)</f>
        <v>#N/A</v>
      </c>
      <c r="BG34" s="56" t="e">
        <f>VLOOKUP(U34, Table2837810[#All], 2, 0)</f>
        <v>#N/A</v>
      </c>
      <c r="BH34" s="56" t="e">
        <f>VLOOKUP(V34, Table2837810[#All], 2, 0)</f>
        <v>#N/A</v>
      </c>
      <c r="BI34" s="56" t="e">
        <f>VLOOKUP(W34, Table2837810[#All], 2, 0)</f>
        <v>#N/A</v>
      </c>
      <c r="BJ34" s="56" t="e">
        <f>VLOOKUP(X34, Table2837810[#All], 2, 0)</f>
        <v>#N/A</v>
      </c>
      <c r="BK34" s="56" t="e">
        <f>VLOOKUP(Y34, Table2837810[#All], 2, 0)</f>
        <v>#N/A</v>
      </c>
      <c r="BL34" s="56" t="e">
        <f>VLOOKUP(Z34, Table2837810[#All], 2, 0)</f>
        <v>#N/A</v>
      </c>
      <c r="BM34" s="56" t="e">
        <f>VLOOKUP(AA34, Table2837810[#All], 2, 0)</f>
        <v>#N/A</v>
      </c>
      <c r="BN34" s="56" t="e">
        <f>VLOOKUP(AB34, Table2837810[#All], 2, 0)</f>
        <v>#N/A</v>
      </c>
      <c r="BO34" s="56" t="e">
        <f>VLOOKUP(AC34, Table2837810[#All], 2, 0)</f>
        <v>#N/A</v>
      </c>
      <c r="BP34" s="56" t="e">
        <f>VLOOKUP(AD34, Table2837810[#All], 2, 0)</f>
        <v>#N/A</v>
      </c>
      <c r="BQ34" s="56" t="e">
        <f>VLOOKUP(AE34, Table2837810[#All], 2, 0)</f>
        <v>#N/A</v>
      </c>
      <c r="BR34" s="56" t="e">
        <f>VLOOKUP(AF34, Table2837810[#All], 2, 0)</f>
        <v>#N/A</v>
      </c>
      <c r="BS34" s="56" t="e">
        <f>VLOOKUP(AG34, Table2837810[#All], 2, 0)</f>
        <v>#N/A</v>
      </c>
      <c r="BT34" s="58"/>
      <c r="BU34" s="68" t="e">
        <f>1/BT35</f>
        <v>#N/A</v>
      </c>
      <c r="BV34" s="68" t="e">
        <f>1/BT36</f>
        <v>#N/A</v>
      </c>
      <c r="BW34" s="55" t="e">
        <f t="shared" si="0"/>
        <v>#N/A</v>
      </c>
      <c r="BX34" s="42"/>
      <c r="BY34" s="42"/>
      <c r="BZ34" s="42"/>
      <c r="CA34" s="42"/>
      <c r="CB34" s="42"/>
      <c r="CC34" s="42"/>
      <c r="CD34" s="42"/>
      <c r="CE34" s="42"/>
      <c r="CF34" s="42"/>
      <c r="CG34" s="42"/>
      <c r="CH34" s="42"/>
      <c r="CI34" s="42"/>
      <c r="CJ34" s="42"/>
      <c r="CK34" s="42"/>
      <c r="CL34" s="42"/>
      <c r="CM34" s="42"/>
      <c r="CN34" s="42"/>
    </row>
    <row r="35" spans="1:92" s="69" customFormat="1" ht="52.9" customHeight="1">
      <c r="A35" s="42"/>
      <c r="B35" s="46"/>
      <c r="C35" s="42"/>
      <c r="D35" s="42"/>
      <c r="E35" s="38" t="s">
        <v>373</v>
      </c>
      <c r="F35" s="26"/>
      <c r="G35" s="26"/>
      <c r="H35" s="26"/>
      <c r="I35" s="26"/>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12"/>
      <c r="AJ35" s="12"/>
      <c r="AK35" s="8" t="e">
        <f>BW35</f>
        <v>#N/A</v>
      </c>
      <c r="AL35" s="52" t="e">
        <f>RANK(AK35,$AK6:$AK36,0)</f>
        <v>#N/A</v>
      </c>
      <c r="AM35" s="47"/>
      <c r="AN35" s="42"/>
      <c r="AO35" s="42"/>
      <c r="AP35" s="42"/>
      <c r="AQ35" s="42"/>
      <c r="AR35" s="56" t="e">
        <f>VLOOKUP(F35, Table2837810[#All], 2, 0)</f>
        <v>#N/A</v>
      </c>
      <c r="AS35" s="56" t="e">
        <f>VLOOKUP(G35, Table2837810[#All], 2, 0)</f>
        <v>#N/A</v>
      </c>
      <c r="AT35" s="56" t="e">
        <f>VLOOKUP(H35, Table2837810[#All], 2, 0)</f>
        <v>#N/A</v>
      </c>
      <c r="AU35" s="56" t="e">
        <f>VLOOKUP(I35, Table2837810[#All], 2, 0)</f>
        <v>#N/A</v>
      </c>
      <c r="AV35" s="56" t="e">
        <f>VLOOKUP(J35, Table2837810[#All], 2, 0)</f>
        <v>#N/A</v>
      </c>
      <c r="AW35" s="56" t="e">
        <f>VLOOKUP(K35, Table2837810[#All], 2, 0)</f>
        <v>#N/A</v>
      </c>
      <c r="AX35" s="56" t="e">
        <f>VLOOKUP(L35, Table2837810[#All], 2, 0)</f>
        <v>#N/A</v>
      </c>
      <c r="AY35" s="56" t="e">
        <f>VLOOKUP(M35, Table2837810[#All], 2, 0)</f>
        <v>#N/A</v>
      </c>
      <c r="AZ35" s="56" t="e">
        <f>VLOOKUP(N35, Table2837810[#All], 2, 0)</f>
        <v>#N/A</v>
      </c>
      <c r="BA35" s="56" t="e">
        <f>VLOOKUP(O35, Table2837810[#All], 2, 0)</f>
        <v>#N/A</v>
      </c>
      <c r="BB35" s="56" t="e">
        <f>VLOOKUP(P35, Table2837810[#All], 2, 0)</f>
        <v>#N/A</v>
      </c>
      <c r="BC35" s="56" t="e">
        <f>VLOOKUP(Q35, Table2837810[#All], 2, 0)</f>
        <v>#N/A</v>
      </c>
      <c r="BD35" s="56" t="e">
        <f>VLOOKUP(R35, Table2837810[#All], 2, 0)</f>
        <v>#N/A</v>
      </c>
      <c r="BE35" s="56" t="e">
        <f>VLOOKUP(S35, Table2837810[#All], 2, 0)</f>
        <v>#N/A</v>
      </c>
      <c r="BF35" s="56" t="e">
        <f>VLOOKUP(T35, Table2837810[#All], 2, 0)</f>
        <v>#N/A</v>
      </c>
      <c r="BG35" s="56" t="e">
        <f>VLOOKUP(U35, Table2837810[#All], 2, 0)</f>
        <v>#N/A</v>
      </c>
      <c r="BH35" s="56" t="e">
        <f>VLOOKUP(V35, Table2837810[#All], 2, 0)</f>
        <v>#N/A</v>
      </c>
      <c r="BI35" s="56" t="e">
        <f>VLOOKUP(W35, Table2837810[#All], 2, 0)</f>
        <v>#N/A</v>
      </c>
      <c r="BJ35" s="56" t="e">
        <f>VLOOKUP(X35, Table2837810[#All], 2, 0)</f>
        <v>#N/A</v>
      </c>
      <c r="BK35" s="56" t="e">
        <f>VLOOKUP(Y35, Table2837810[#All], 2, 0)</f>
        <v>#N/A</v>
      </c>
      <c r="BL35" s="56" t="e">
        <f>VLOOKUP(Z35, Table2837810[#All], 2, 0)</f>
        <v>#N/A</v>
      </c>
      <c r="BM35" s="56" t="e">
        <f>VLOOKUP(AA35, Table2837810[#All], 2, 0)</f>
        <v>#N/A</v>
      </c>
      <c r="BN35" s="56" t="e">
        <f>VLOOKUP(AB35, Table2837810[#All], 2, 0)</f>
        <v>#N/A</v>
      </c>
      <c r="BO35" s="56" t="e">
        <f>VLOOKUP(AC35, Table2837810[#All], 2, 0)</f>
        <v>#N/A</v>
      </c>
      <c r="BP35" s="56" t="e">
        <f>VLOOKUP(AD35, Table2837810[#All], 2, 0)</f>
        <v>#N/A</v>
      </c>
      <c r="BQ35" s="56" t="e">
        <f>VLOOKUP(AE35, Table2837810[#All], 2, 0)</f>
        <v>#N/A</v>
      </c>
      <c r="BR35" s="56" t="e">
        <f>VLOOKUP(AF35, Table2837810[#All], 2, 0)</f>
        <v>#N/A</v>
      </c>
      <c r="BS35" s="56" t="e">
        <f>VLOOKUP(AG35, Table2837810[#All], 2, 0)</f>
        <v>#N/A</v>
      </c>
      <c r="BT35" s="56" t="e">
        <f>VLOOKUP(AH35, Table2837810[#All], 2, 0)</f>
        <v>#N/A</v>
      </c>
      <c r="BU35" s="58"/>
      <c r="BV35" s="68" t="e">
        <f>1/BU36</f>
        <v>#N/A</v>
      </c>
      <c r="BW35" s="55" t="e">
        <f t="shared" si="0"/>
        <v>#N/A</v>
      </c>
      <c r="BX35" s="42"/>
      <c r="BY35" s="42"/>
      <c r="BZ35" s="42"/>
      <c r="CA35" s="42"/>
      <c r="CB35" s="42"/>
      <c r="CC35" s="42"/>
      <c r="CD35" s="42"/>
      <c r="CE35" s="42"/>
      <c r="CF35" s="42"/>
      <c r="CG35" s="42"/>
      <c r="CH35" s="42"/>
      <c r="CI35" s="42"/>
      <c r="CJ35" s="42"/>
      <c r="CK35" s="42"/>
      <c r="CL35" s="42"/>
      <c r="CM35" s="42"/>
      <c r="CN35" s="42"/>
    </row>
    <row r="36" spans="1:92" ht="50.45" customHeight="1" thickBot="1">
      <c r="B36" s="46"/>
      <c r="E36" s="39" t="s">
        <v>374</v>
      </c>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6"/>
      <c r="AK36" s="13" t="e">
        <f>BW36</f>
        <v>#N/A</v>
      </c>
      <c r="AL36" s="57" t="e">
        <f>RANK(AK36,$AK6:$AK36,0)</f>
        <v>#N/A</v>
      </c>
      <c r="AM36" s="47"/>
      <c r="AR36" s="56" t="e">
        <f>VLOOKUP(F36, Table2837810[#All], 2, 0)</f>
        <v>#N/A</v>
      </c>
      <c r="AS36" s="56" t="e">
        <f>VLOOKUP(G36, Table2837810[#All], 2, 0)</f>
        <v>#N/A</v>
      </c>
      <c r="AT36" s="56" t="e">
        <f>VLOOKUP(H36, Table2837810[#All], 2, 0)</f>
        <v>#N/A</v>
      </c>
      <c r="AU36" s="56" t="e">
        <f>VLOOKUP(I36, Table2837810[#All], 2, 0)</f>
        <v>#N/A</v>
      </c>
      <c r="AV36" s="56" t="e">
        <f>VLOOKUP(J36, Table2837810[#All], 2, 0)</f>
        <v>#N/A</v>
      </c>
      <c r="AW36" s="56" t="e">
        <f>VLOOKUP(K36, Table2837810[#All], 2, 0)</f>
        <v>#N/A</v>
      </c>
      <c r="AX36" s="56" t="e">
        <f>VLOOKUP(L36, Table2837810[#All], 2, 0)</f>
        <v>#N/A</v>
      </c>
      <c r="AY36" s="56" t="e">
        <f>VLOOKUP(M36, Table2837810[#All], 2, 0)</f>
        <v>#N/A</v>
      </c>
      <c r="AZ36" s="56" t="e">
        <f>VLOOKUP(N36, Table2837810[#All], 2, 0)</f>
        <v>#N/A</v>
      </c>
      <c r="BA36" s="56" t="e">
        <f>VLOOKUP(O36, Table2837810[#All], 2, 0)</f>
        <v>#N/A</v>
      </c>
      <c r="BB36" s="56" t="e">
        <f>VLOOKUP(P36, Table2837810[#All], 2, 0)</f>
        <v>#N/A</v>
      </c>
      <c r="BC36" s="56" t="e">
        <f>VLOOKUP(Q36, Table2837810[#All], 2, 0)</f>
        <v>#N/A</v>
      </c>
      <c r="BD36" s="56" t="e">
        <f>VLOOKUP(R36, Table2837810[#All], 2, 0)</f>
        <v>#N/A</v>
      </c>
      <c r="BE36" s="56" t="e">
        <f>VLOOKUP(S36, Table2837810[#All], 2, 0)</f>
        <v>#N/A</v>
      </c>
      <c r="BF36" s="56" t="e">
        <f>VLOOKUP(T36, Table2837810[#All], 2, 0)</f>
        <v>#N/A</v>
      </c>
      <c r="BG36" s="56" t="e">
        <f>VLOOKUP(U36, Table2837810[#All], 2, 0)</f>
        <v>#N/A</v>
      </c>
      <c r="BH36" s="56" t="e">
        <f>VLOOKUP(V36, Table2837810[#All], 2, 0)</f>
        <v>#N/A</v>
      </c>
      <c r="BI36" s="56" t="e">
        <f>VLOOKUP(W36, Table2837810[#All], 2, 0)</f>
        <v>#N/A</v>
      </c>
      <c r="BJ36" s="56" t="e">
        <f>VLOOKUP(X36, Table2837810[#All], 2, 0)</f>
        <v>#N/A</v>
      </c>
      <c r="BK36" s="56" t="e">
        <f>VLOOKUP(Y36, Table2837810[#All], 2, 0)</f>
        <v>#N/A</v>
      </c>
      <c r="BL36" s="56" t="e">
        <f>VLOOKUP(Z36, Table2837810[#All], 2, 0)</f>
        <v>#N/A</v>
      </c>
      <c r="BM36" s="56" t="e">
        <f>VLOOKUP(AA36, Table2837810[#All], 2, 0)</f>
        <v>#N/A</v>
      </c>
      <c r="BN36" s="56" t="e">
        <f>VLOOKUP(AB36, Table2837810[#All], 2, 0)</f>
        <v>#N/A</v>
      </c>
      <c r="BO36" s="56" t="e">
        <f>VLOOKUP(AC36, Table2837810[#All], 2, 0)</f>
        <v>#N/A</v>
      </c>
      <c r="BP36" s="56" t="e">
        <f>VLOOKUP(AD36, Table2837810[#All], 2, 0)</f>
        <v>#N/A</v>
      </c>
      <c r="BQ36" s="56" t="e">
        <f>VLOOKUP(AE36, Table2837810[#All], 2, 0)</f>
        <v>#N/A</v>
      </c>
      <c r="BR36" s="56" t="e">
        <f>VLOOKUP(AF36, Table2837810[#All], 2, 0)</f>
        <v>#N/A</v>
      </c>
      <c r="BS36" s="56" t="e">
        <f>VLOOKUP(AG36, Table2837810[#All], 2, 0)</f>
        <v>#N/A</v>
      </c>
      <c r="BT36" s="56" t="e">
        <f>VLOOKUP(AH36, Table2837810[#All], 2, 0)</f>
        <v>#N/A</v>
      </c>
      <c r="BU36" s="56" t="e">
        <f>VLOOKUP(AI36, Table2837810[#All], 2, 0)</f>
        <v>#N/A</v>
      </c>
      <c r="BV36" s="58"/>
      <c r="BW36" s="55" t="e">
        <f t="shared" si="0"/>
        <v>#N/A</v>
      </c>
    </row>
    <row r="37" spans="1:92" ht="16.5" thickBot="1">
      <c r="B37" s="62"/>
      <c r="C37" s="63"/>
      <c r="D37" s="63"/>
      <c r="E37" s="33"/>
      <c r="F37" s="33"/>
      <c r="G37" s="33"/>
      <c r="H37" s="33"/>
      <c r="I37" s="33"/>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63"/>
      <c r="AL37" s="63"/>
      <c r="AM37" s="64"/>
    </row>
    <row r="38" spans="1:92">
      <c r="E38" s="42"/>
    </row>
  </sheetData>
  <mergeCells count="2">
    <mergeCell ref="C2:AL2"/>
    <mergeCell ref="E4:AL4"/>
  </mergeCells>
  <dataValidations count="1">
    <dataValidation type="list" allowBlank="1" showInputMessage="1" showErrorMessage="1" sqref="J11:J17 F7:F17 K12:K17 L13:L17 I10:I17 M14:M16 N15:N16 O16 H9:H17 M17:P17 F18:Q18 F19:R19 F20:S36 G8:G17 AF33:AF36 U22:U36 V23:V36 W24:W36 X25:X36 Y26:Y36 Z27:Z36 AA28:AA36 AB29:AB36 AC30:AC36 AD31:AD36 AE32:AE36 T21:T36 AG34:AG36 AH35:AH36 AI36" xr:uid="{2F6A7A70-7663-45AC-847C-01A4F8C39E85}">
      <formula1>Scale</formula1>
    </dataValidation>
  </dataValidations>
  <pageMargins left="0.7" right="0.7" top="0.75" bottom="0.75" header="0.3" footer="0.3"/>
  <pageSetup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ADBA-D2D3-4816-9159-05E509A2BDE6}">
  <dimension ref="A1:AX46"/>
  <sheetViews>
    <sheetView topLeftCell="A9" zoomScale="70" zoomScaleNormal="70" workbookViewId="0">
      <selection activeCell="A9"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15" width="10.625" style="31" customWidth="1"/>
    <col min="16" max="17" width="10.625" style="42" customWidth="1"/>
    <col min="18" max="19" width="3.375" style="42" customWidth="1"/>
    <col min="20" max="33" width="10.875" style="42" hidden="1" customWidth="1"/>
    <col min="34" max="16384" width="10.875" style="42"/>
  </cols>
  <sheetData>
    <row r="1" spans="1:50" s="43" customFormat="1" ht="16.5" thickBot="1">
      <c r="A1" s="42"/>
      <c r="B1" s="42"/>
      <c r="C1" s="42"/>
      <c r="D1" s="42"/>
      <c r="E1" s="31"/>
      <c r="F1" s="31"/>
      <c r="G1" s="31"/>
      <c r="H1" s="31"/>
      <c r="I1" s="31"/>
      <c r="J1" s="31"/>
      <c r="K1" s="31"/>
      <c r="L1" s="31"/>
      <c r="M1" s="31"/>
      <c r="N1" s="31"/>
      <c r="O1" s="31"/>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row>
    <row r="2" spans="1:50" s="43" customFormat="1" ht="26.25">
      <c r="A2" s="42"/>
      <c r="B2" s="44"/>
      <c r="C2" s="96" t="s">
        <v>151</v>
      </c>
      <c r="D2" s="96"/>
      <c r="E2" s="96"/>
      <c r="F2" s="96"/>
      <c r="G2" s="96"/>
      <c r="H2" s="96"/>
      <c r="I2" s="96"/>
      <c r="J2" s="96"/>
      <c r="K2" s="96"/>
      <c r="L2" s="96"/>
      <c r="M2" s="96"/>
      <c r="N2" s="96"/>
      <c r="O2" s="96"/>
      <c r="P2" s="96"/>
      <c r="Q2" s="96"/>
      <c r="R2" s="45"/>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row>
    <row r="3" spans="1:50" s="43" customFormat="1" ht="21.75" thickBot="1">
      <c r="A3" s="42"/>
      <c r="B3" s="46"/>
      <c r="C3" s="42"/>
      <c r="D3" s="42"/>
      <c r="E3" s="4"/>
      <c r="F3" s="4"/>
      <c r="G3" s="4"/>
      <c r="H3" s="4"/>
      <c r="I3" s="4"/>
      <c r="J3" s="4"/>
      <c r="K3" s="4"/>
      <c r="L3" s="4"/>
      <c r="M3" s="4"/>
      <c r="N3" s="4"/>
      <c r="O3" s="4"/>
      <c r="P3" s="4"/>
      <c r="Q3" s="4"/>
      <c r="R3" s="47"/>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row>
    <row r="4" spans="1:50" s="43" customFormat="1" ht="21.75" thickBot="1">
      <c r="A4" s="42"/>
      <c r="B4" s="46"/>
      <c r="C4" s="3" t="s">
        <v>11</v>
      </c>
      <c r="D4" s="4"/>
      <c r="E4" s="100" t="s">
        <v>12</v>
      </c>
      <c r="F4" s="101"/>
      <c r="G4" s="101"/>
      <c r="H4" s="101"/>
      <c r="I4" s="101"/>
      <c r="J4" s="101"/>
      <c r="K4" s="101"/>
      <c r="L4" s="101"/>
      <c r="M4" s="101"/>
      <c r="N4" s="101"/>
      <c r="O4" s="101"/>
      <c r="P4" s="101"/>
      <c r="Q4" s="102"/>
      <c r="R4" s="47"/>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row>
    <row r="5" spans="1:50" s="43" customFormat="1" ht="16.5" thickBot="1">
      <c r="A5" s="42"/>
      <c r="B5" s="46"/>
      <c r="C5" s="48"/>
      <c r="D5" s="42"/>
      <c r="E5" s="85" t="s">
        <v>13</v>
      </c>
      <c r="F5" s="50" t="s">
        <v>379</v>
      </c>
      <c r="G5" s="50" t="s">
        <v>152</v>
      </c>
      <c r="H5" s="50" t="s">
        <v>153</v>
      </c>
      <c r="I5" s="50" t="s">
        <v>380</v>
      </c>
      <c r="J5" s="50" t="s">
        <v>154</v>
      </c>
      <c r="K5" s="50" t="s">
        <v>155</v>
      </c>
      <c r="L5" s="50" t="s">
        <v>156</v>
      </c>
      <c r="M5" s="50" t="s">
        <v>157</v>
      </c>
      <c r="N5" s="50" t="s">
        <v>158</v>
      </c>
      <c r="O5" s="50" t="s">
        <v>159</v>
      </c>
      <c r="P5" s="50" t="s">
        <v>14</v>
      </c>
      <c r="Q5" s="51" t="s">
        <v>15</v>
      </c>
      <c r="R5" s="47"/>
      <c r="S5" s="42"/>
      <c r="T5" s="42" t="s">
        <v>16</v>
      </c>
      <c r="U5" s="42" t="s">
        <v>17</v>
      </c>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row>
    <row r="6" spans="1:50" s="43" customFormat="1" ht="63.4" customHeight="1">
      <c r="A6" s="42"/>
      <c r="B6" s="46"/>
      <c r="C6" s="48"/>
      <c r="D6" s="42"/>
      <c r="E6" s="37" t="s">
        <v>376</v>
      </c>
      <c r="F6" s="9"/>
      <c r="G6" s="9"/>
      <c r="H6" s="9"/>
      <c r="I6" s="9"/>
      <c r="J6" s="9"/>
      <c r="K6" s="9"/>
      <c r="L6" s="9"/>
      <c r="M6" s="9"/>
      <c r="N6" s="9"/>
      <c r="O6" s="9"/>
      <c r="P6" s="8" t="e">
        <f t="shared" ref="P6:P15" si="0">AG6</f>
        <v>#N/A</v>
      </c>
      <c r="Q6" s="52" t="e">
        <f>RANK(P6,$P6:$P15,0)</f>
        <v>#N/A</v>
      </c>
      <c r="R6" s="47"/>
      <c r="S6" s="42"/>
      <c r="T6" s="42" t="s">
        <v>18</v>
      </c>
      <c r="U6" s="42">
        <v>10</v>
      </c>
      <c r="V6" s="42"/>
      <c r="W6" s="53"/>
      <c r="X6" s="54" t="e">
        <f>1/W7</f>
        <v>#N/A</v>
      </c>
      <c r="Y6" s="54" t="e">
        <f>1/W8</f>
        <v>#N/A</v>
      </c>
      <c r="Z6" s="54" t="e">
        <f>1/W9</f>
        <v>#N/A</v>
      </c>
      <c r="AA6" s="54" t="e">
        <f>1/W10</f>
        <v>#N/A</v>
      </c>
      <c r="AB6" s="54" t="e">
        <f>1/W11</f>
        <v>#N/A</v>
      </c>
      <c r="AC6" s="54" t="e">
        <f>1/W12</f>
        <v>#N/A</v>
      </c>
      <c r="AD6" s="54" t="e">
        <f>1/W13</f>
        <v>#N/A</v>
      </c>
      <c r="AE6" s="54" t="e">
        <f>1/W14</f>
        <v>#N/A</v>
      </c>
      <c r="AF6" s="54" t="e">
        <f>1/W15</f>
        <v>#N/A</v>
      </c>
      <c r="AG6" s="55" t="e">
        <f t="shared" ref="AG6:AG15" si="1">SUM(W6:AF6)</f>
        <v>#N/A</v>
      </c>
      <c r="AH6" s="42"/>
      <c r="AI6" s="42"/>
      <c r="AJ6" s="42"/>
      <c r="AK6" s="42"/>
      <c r="AL6" s="42"/>
      <c r="AM6" s="42"/>
      <c r="AN6" s="42"/>
      <c r="AO6" s="42"/>
      <c r="AP6" s="42"/>
      <c r="AQ6" s="42"/>
      <c r="AR6" s="42"/>
      <c r="AS6" s="42"/>
      <c r="AT6" s="42"/>
      <c r="AU6" s="42"/>
      <c r="AV6" s="42"/>
      <c r="AW6" s="42"/>
      <c r="AX6" s="42"/>
    </row>
    <row r="7" spans="1:50" s="43" customFormat="1" ht="44.45" customHeight="1">
      <c r="A7" s="42"/>
      <c r="B7" s="46"/>
      <c r="C7" s="48"/>
      <c r="D7" s="42"/>
      <c r="E7" s="37" t="s">
        <v>377</v>
      </c>
      <c r="F7" s="8"/>
      <c r="G7" s="9"/>
      <c r="H7" s="9"/>
      <c r="I7" s="9"/>
      <c r="J7" s="9"/>
      <c r="K7" s="9"/>
      <c r="L7" s="9"/>
      <c r="M7" s="9"/>
      <c r="N7" s="9"/>
      <c r="O7" s="9"/>
      <c r="P7" s="8" t="e">
        <f t="shared" si="0"/>
        <v>#N/A</v>
      </c>
      <c r="Q7" s="52" t="e">
        <f>RANK(P7,$P6:$P15,0)</f>
        <v>#N/A</v>
      </c>
      <c r="R7" s="47"/>
      <c r="S7" s="42"/>
      <c r="T7" s="42" t="s">
        <v>19</v>
      </c>
      <c r="U7" s="42">
        <v>5</v>
      </c>
      <c r="V7" s="42"/>
      <c r="W7" s="56" t="e">
        <f>VLOOKUP(F7, Table28611[#All], 2, 0)</f>
        <v>#N/A</v>
      </c>
      <c r="X7" s="53"/>
      <c r="Y7" s="54" t="e">
        <f>1/X8</f>
        <v>#N/A</v>
      </c>
      <c r="Z7" s="54" t="e">
        <f>1/X9</f>
        <v>#N/A</v>
      </c>
      <c r="AA7" s="54" t="e">
        <f>1/X10</f>
        <v>#N/A</v>
      </c>
      <c r="AB7" s="54" t="e">
        <f>1/X11</f>
        <v>#N/A</v>
      </c>
      <c r="AC7" s="54" t="e">
        <f>1/X12</f>
        <v>#N/A</v>
      </c>
      <c r="AD7" s="54" t="e">
        <f>1/X13</f>
        <v>#N/A</v>
      </c>
      <c r="AE7" s="54" t="e">
        <f>1/X14</f>
        <v>#N/A</v>
      </c>
      <c r="AF7" s="54" t="e">
        <f>1/X15</f>
        <v>#N/A</v>
      </c>
      <c r="AG7" s="55" t="e">
        <f t="shared" si="1"/>
        <v>#N/A</v>
      </c>
      <c r="AH7" s="42"/>
      <c r="AI7" s="42"/>
      <c r="AJ7" s="42"/>
      <c r="AK7" s="42"/>
      <c r="AL7" s="42"/>
      <c r="AM7" s="42"/>
      <c r="AN7" s="42"/>
      <c r="AO7" s="42"/>
      <c r="AP7" s="42"/>
      <c r="AQ7" s="42"/>
      <c r="AR7" s="42"/>
      <c r="AS7" s="42"/>
      <c r="AT7" s="42"/>
      <c r="AU7" s="42"/>
      <c r="AV7" s="42"/>
      <c r="AW7" s="42"/>
      <c r="AX7" s="42"/>
    </row>
    <row r="8" spans="1:50" s="43" customFormat="1" ht="37.9" customHeight="1">
      <c r="A8" s="42"/>
      <c r="B8" s="46"/>
      <c r="C8" s="48"/>
      <c r="D8" s="42"/>
      <c r="E8" s="38" t="s">
        <v>378</v>
      </c>
      <c r="F8" s="8"/>
      <c r="G8" s="8"/>
      <c r="H8" s="9"/>
      <c r="I8" s="9"/>
      <c r="J8" s="9"/>
      <c r="K8" s="9"/>
      <c r="L8" s="9"/>
      <c r="M8" s="9"/>
      <c r="N8" s="9"/>
      <c r="O8" s="9"/>
      <c r="P8" s="8" t="e">
        <f t="shared" si="0"/>
        <v>#N/A</v>
      </c>
      <c r="Q8" s="52" t="e">
        <f>RANK(P8,$P6:$P15,0)</f>
        <v>#N/A</v>
      </c>
      <c r="R8" s="47"/>
      <c r="S8" s="42"/>
      <c r="T8" s="42" t="s">
        <v>20</v>
      </c>
      <c r="U8" s="42">
        <v>1</v>
      </c>
      <c r="V8" s="42"/>
      <c r="W8" s="56" t="e">
        <f>VLOOKUP(F8, Table28611[#All], 2, 0)</f>
        <v>#N/A</v>
      </c>
      <c r="X8" s="56" t="e">
        <f>VLOOKUP(G8, Table28611[#All], 2, 0)</f>
        <v>#N/A</v>
      </c>
      <c r="Y8" s="53"/>
      <c r="Z8" s="54" t="e">
        <f>1/Y9</f>
        <v>#N/A</v>
      </c>
      <c r="AA8" s="54" t="e">
        <f>1/Y10</f>
        <v>#N/A</v>
      </c>
      <c r="AB8" s="54" t="e">
        <f>1/Y11</f>
        <v>#N/A</v>
      </c>
      <c r="AC8" s="54" t="e">
        <f>1/Y12</f>
        <v>#N/A</v>
      </c>
      <c r="AD8" s="54" t="e">
        <f>1/Y13</f>
        <v>#N/A</v>
      </c>
      <c r="AE8" s="54" t="e">
        <f>1/Y14</f>
        <v>#N/A</v>
      </c>
      <c r="AF8" s="54" t="e">
        <f>1/Y15</f>
        <v>#N/A</v>
      </c>
      <c r="AG8" s="55" t="e">
        <f t="shared" si="1"/>
        <v>#N/A</v>
      </c>
      <c r="AH8" s="42"/>
      <c r="AI8" s="42"/>
      <c r="AJ8" s="42"/>
      <c r="AK8" s="42"/>
      <c r="AL8" s="42"/>
      <c r="AM8" s="42"/>
      <c r="AN8" s="42"/>
      <c r="AO8" s="42"/>
      <c r="AP8" s="42"/>
      <c r="AQ8" s="42"/>
      <c r="AR8" s="42"/>
      <c r="AS8" s="42"/>
      <c r="AT8" s="42"/>
      <c r="AU8" s="42"/>
      <c r="AV8" s="42"/>
      <c r="AW8" s="42"/>
      <c r="AX8" s="42"/>
    </row>
    <row r="9" spans="1:50" s="43" customFormat="1" ht="49.5" customHeight="1">
      <c r="A9" s="42"/>
      <c r="B9" s="46"/>
      <c r="C9" s="48"/>
      <c r="D9" s="42"/>
      <c r="E9" s="38" t="s">
        <v>381</v>
      </c>
      <c r="F9" s="8"/>
      <c r="G9" s="8"/>
      <c r="H9" s="10"/>
      <c r="I9" s="9"/>
      <c r="J9" s="9"/>
      <c r="K9" s="9"/>
      <c r="L9" s="9"/>
      <c r="M9" s="9"/>
      <c r="N9" s="9"/>
      <c r="O9" s="9"/>
      <c r="P9" s="8" t="e">
        <f t="shared" si="0"/>
        <v>#N/A</v>
      </c>
      <c r="Q9" s="52" t="e">
        <f>RANK(P9,$P6:$P15,0)</f>
        <v>#N/A</v>
      </c>
      <c r="R9" s="47"/>
      <c r="S9" s="42"/>
      <c r="T9" s="42" t="s">
        <v>21</v>
      </c>
      <c r="U9" s="42">
        <v>0.2</v>
      </c>
      <c r="V9" s="42"/>
      <c r="W9" s="56" t="e">
        <f>VLOOKUP(F9, Table28611[#All], 2, 0)</f>
        <v>#N/A</v>
      </c>
      <c r="X9" s="56" t="e">
        <f>VLOOKUP(G9, Table28611[#All], 2, 0)</f>
        <v>#N/A</v>
      </c>
      <c r="Y9" s="56" t="e">
        <f>VLOOKUP(H9, Table28611[#All], 2, 0)</f>
        <v>#N/A</v>
      </c>
      <c r="Z9" s="53"/>
      <c r="AA9" s="54" t="e">
        <f>1/Z10</f>
        <v>#N/A</v>
      </c>
      <c r="AB9" s="54" t="e">
        <f>1/Z11</f>
        <v>#N/A</v>
      </c>
      <c r="AC9" s="54" t="e">
        <f>1/Z12</f>
        <v>#N/A</v>
      </c>
      <c r="AD9" s="54" t="e">
        <f>1/Z13</f>
        <v>#N/A</v>
      </c>
      <c r="AE9" s="54" t="e">
        <f>1/Z14</f>
        <v>#N/A</v>
      </c>
      <c r="AF9" s="54" t="e">
        <f>1/Z15</f>
        <v>#N/A</v>
      </c>
      <c r="AG9" s="55" t="e">
        <f>SUM(W9:AF9)</f>
        <v>#N/A</v>
      </c>
      <c r="AH9" s="42"/>
      <c r="AI9" s="42"/>
      <c r="AJ9" s="42"/>
      <c r="AK9" s="42"/>
      <c r="AL9" s="42"/>
      <c r="AM9" s="42"/>
      <c r="AN9" s="42"/>
      <c r="AO9" s="42"/>
      <c r="AP9" s="42"/>
      <c r="AQ9" s="42"/>
      <c r="AR9" s="42"/>
      <c r="AS9" s="42"/>
      <c r="AT9" s="42"/>
      <c r="AU9" s="42"/>
      <c r="AV9" s="42"/>
      <c r="AW9" s="42"/>
      <c r="AX9" s="42"/>
    </row>
    <row r="10" spans="1:50" s="43" customFormat="1" ht="39.950000000000003" customHeight="1">
      <c r="A10" s="42"/>
      <c r="B10" s="46"/>
      <c r="C10" s="48"/>
      <c r="D10" s="42"/>
      <c r="E10" s="38" t="s">
        <v>160</v>
      </c>
      <c r="F10" s="10"/>
      <c r="G10" s="8"/>
      <c r="H10" s="8"/>
      <c r="I10" s="10"/>
      <c r="J10" s="11"/>
      <c r="K10" s="11"/>
      <c r="L10" s="11"/>
      <c r="M10" s="11"/>
      <c r="N10" s="11"/>
      <c r="O10" s="11"/>
      <c r="P10" s="8" t="e">
        <f t="shared" si="0"/>
        <v>#N/A</v>
      </c>
      <c r="Q10" s="52" t="e">
        <f>RANK(P10,$P6:$P15,0)</f>
        <v>#N/A</v>
      </c>
      <c r="R10" s="47"/>
      <c r="S10" s="42"/>
      <c r="T10" s="42" t="s">
        <v>22</v>
      </c>
      <c r="U10" s="42">
        <v>0.1</v>
      </c>
      <c r="V10" s="42"/>
      <c r="W10" s="56" t="e">
        <f>VLOOKUP(F10, Table28611[#All], 2, 0)</f>
        <v>#N/A</v>
      </c>
      <c r="X10" s="56" t="e">
        <f>VLOOKUP(G10, Table28611[#All], 2, 0)</f>
        <v>#N/A</v>
      </c>
      <c r="Y10" s="56" t="e">
        <f>VLOOKUP(H10, Table28611[#All], 2, 0)</f>
        <v>#N/A</v>
      </c>
      <c r="Z10" s="56" t="e">
        <f>VLOOKUP(I10, Table28611[#All], 2, 0)</f>
        <v>#N/A</v>
      </c>
      <c r="AA10" s="53"/>
      <c r="AB10" s="54" t="e">
        <f>1/AA11</f>
        <v>#N/A</v>
      </c>
      <c r="AC10" s="54" t="e">
        <f>1/AA12</f>
        <v>#N/A</v>
      </c>
      <c r="AD10" s="54" t="e">
        <f>1/AA13</f>
        <v>#N/A</v>
      </c>
      <c r="AE10" s="54" t="e">
        <f>1/AA14</f>
        <v>#N/A</v>
      </c>
      <c r="AF10" s="54" t="e">
        <f>1/AA15</f>
        <v>#N/A</v>
      </c>
      <c r="AG10" s="55" t="e">
        <f t="shared" si="1"/>
        <v>#N/A</v>
      </c>
      <c r="AH10" s="42"/>
      <c r="AI10" s="42"/>
      <c r="AJ10" s="42"/>
      <c r="AK10" s="42"/>
      <c r="AL10" s="42"/>
      <c r="AM10" s="42"/>
      <c r="AN10" s="42"/>
      <c r="AO10" s="42"/>
      <c r="AP10" s="42"/>
      <c r="AQ10" s="42"/>
      <c r="AR10" s="42"/>
      <c r="AS10" s="42"/>
      <c r="AT10" s="42"/>
      <c r="AU10" s="42"/>
      <c r="AV10" s="42"/>
      <c r="AW10" s="42"/>
      <c r="AX10" s="42"/>
    </row>
    <row r="11" spans="1:50" s="43" customFormat="1" ht="55.35" customHeight="1">
      <c r="A11" s="42"/>
      <c r="B11" s="46"/>
      <c r="C11" s="48"/>
      <c r="D11" s="42"/>
      <c r="E11" s="38" t="s">
        <v>382</v>
      </c>
      <c r="F11" s="8"/>
      <c r="G11" s="8"/>
      <c r="H11" s="10"/>
      <c r="I11" s="8"/>
      <c r="J11" s="8"/>
      <c r="K11" s="11"/>
      <c r="L11" s="11"/>
      <c r="M11" s="11"/>
      <c r="N11" s="11"/>
      <c r="O11" s="11"/>
      <c r="P11" s="8" t="e">
        <f t="shared" si="0"/>
        <v>#N/A</v>
      </c>
      <c r="Q11" s="52" t="e">
        <f>RANK(P11,$P6:$P15,0)</f>
        <v>#N/A</v>
      </c>
      <c r="R11" s="47"/>
      <c r="S11" s="42"/>
      <c r="T11" s="42"/>
      <c r="U11" s="42"/>
      <c r="V11" s="42"/>
      <c r="W11" s="56" t="e">
        <f>VLOOKUP(F11, Table28611[#All], 2, 0)</f>
        <v>#N/A</v>
      </c>
      <c r="X11" s="56" t="e">
        <f>VLOOKUP(G11, Table28611[#All], 2, 0)</f>
        <v>#N/A</v>
      </c>
      <c r="Y11" s="56" t="e">
        <f>VLOOKUP(H11, Table28611[#All], 2, 0)</f>
        <v>#N/A</v>
      </c>
      <c r="Z11" s="56" t="e">
        <f>VLOOKUP(I11, Table28611[#All], 2, 0)</f>
        <v>#N/A</v>
      </c>
      <c r="AA11" s="56" t="e">
        <f>VLOOKUP(J11, Table28611[#All], 2, 0)</f>
        <v>#N/A</v>
      </c>
      <c r="AB11" s="53"/>
      <c r="AC11" s="54" t="e">
        <f>1/AB12</f>
        <v>#N/A</v>
      </c>
      <c r="AD11" s="54" t="e">
        <f>1/AB13</f>
        <v>#N/A</v>
      </c>
      <c r="AE11" s="54" t="e">
        <f>1/AB14</f>
        <v>#N/A</v>
      </c>
      <c r="AF11" s="54" t="e">
        <f>1/AB15</f>
        <v>#N/A</v>
      </c>
      <c r="AG11" s="55" t="e">
        <f t="shared" si="1"/>
        <v>#N/A</v>
      </c>
      <c r="AH11" s="42"/>
      <c r="AI11" s="42"/>
      <c r="AJ11" s="42"/>
      <c r="AK11" s="42"/>
      <c r="AL11" s="42"/>
      <c r="AM11" s="42"/>
      <c r="AN11" s="42"/>
      <c r="AO11" s="42"/>
      <c r="AP11" s="42"/>
      <c r="AQ11" s="42"/>
      <c r="AR11" s="42"/>
      <c r="AS11" s="42"/>
      <c r="AT11" s="42"/>
      <c r="AU11" s="42"/>
      <c r="AV11" s="42"/>
      <c r="AW11" s="42"/>
      <c r="AX11" s="42"/>
    </row>
    <row r="12" spans="1:50" s="43" customFormat="1" ht="65.849999999999994" customHeight="1" thickBot="1">
      <c r="A12" s="42"/>
      <c r="B12" s="46"/>
      <c r="C12" s="61"/>
      <c r="D12" s="42"/>
      <c r="E12" s="38" t="s">
        <v>161</v>
      </c>
      <c r="F12" s="10"/>
      <c r="G12" s="8"/>
      <c r="H12" s="8"/>
      <c r="I12" s="8"/>
      <c r="J12" s="8"/>
      <c r="K12" s="8"/>
      <c r="L12" s="11"/>
      <c r="M12" s="11"/>
      <c r="N12" s="11"/>
      <c r="O12" s="11"/>
      <c r="P12" s="8" t="e">
        <f t="shared" si="0"/>
        <v>#N/A</v>
      </c>
      <c r="Q12" s="52" t="e">
        <f>RANK(P12,$P6:$P15,0)</f>
        <v>#N/A</v>
      </c>
      <c r="R12" s="47"/>
      <c r="S12" s="42"/>
      <c r="T12" s="42"/>
      <c r="U12" s="42"/>
      <c r="V12" s="42"/>
      <c r="W12" s="56" t="e">
        <f>VLOOKUP(F12, Table28611[#All], 2, 0)</f>
        <v>#N/A</v>
      </c>
      <c r="X12" s="56" t="e">
        <f>VLOOKUP(G12, Table28611[#All], 2, 0)</f>
        <v>#N/A</v>
      </c>
      <c r="Y12" s="56" t="e">
        <f>VLOOKUP(H12, Table28611[#All], 2, 0)</f>
        <v>#N/A</v>
      </c>
      <c r="Z12" s="56" t="e">
        <f>VLOOKUP(I12, Table28611[#All], 2, 0)</f>
        <v>#N/A</v>
      </c>
      <c r="AA12" s="56" t="e">
        <f>VLOOKUP(J12, Table28611[#All], 2, 0)</f>
        <v>#N/A</v>
      </c>
      <c r="AB12" s="56" t="e">
        <f>VLOOKUP(K12, Table28611[#All], 2, 0)</f>
        <v>#N/A</v>
      </c>
      <c r="AC12" s="53"/>
      <c r="AD12" s="54" t="e">
        <f>1/AC13</f>
        <v>#N/A</v>
      </c>
      <c r="AE12" s="54" t="e">
        <f>1/AC14</f>
        <v>#N/A</v>
      </c>
      <c r="AF12" s="54" t="e">
        <f>1/AC15</f>
        <v>#N/A</v>
      </c>
      <c r="AG12" s="55" t="e">
        <f t="shared" si="1"/>
        <v>#N/A</v>
      </c>
      <c r="AH12" s="42"/>
      <c r="AI12" s="42"/>
      <c r="AJ12" s="42"/>
      <c r="AK12" s="42"/>
      <c r="AL12" s="42"/>
      <c r="AM12" s="42"/>
      <c r="AN12" s="42"/>
      <c r="AO12" s="42"/>
      <c r="AP12" s="42"/>
      <c r="AQ12" s="42"/>
      <c r="AR12" s="42"/>
      <c r="AS12" s="42"/>
      <c r="AT12" s="42"/>
      <c r="AU12" s="42"/>
      <c r="AV12" s="42"/>
      <c r="AW12" s="42"/>
      <c r="AX12" s="42"/>
    </row>
    <row r="13" spans="1:50" s="43" customFormat="1" ht="54.4" customHeight="1">
      <c r="A13" s="42"/>
      <c r="B13" s="46"/>
      <c r="C13" s="69"/>
      <c r="D13" s="42"/>
      <c r="E13" s="38" t="s">
        <v>383</v>
      </c>
      <c r="F13" s="10"/>
      <c r="G13" s="10"/>
      <c r="H13" s="10"/>
      <c r="I13" s="8"/>
      <c r="J13" s="8"/>
      <c r="K13" s="10"/>
      <c r="L13" s="10"/>
      <c r="M13" s="12"/>
      <c r="N13" s="12"/>
      <c r="O13" s="12"/>
      <c r="P13" s="8" t="e">
        <f t="shared" si="0"/>
        <v>#N/A</v>
      </c>
      <c r="Q13" s="52" t="e">
        <f>RANK(P13,$P6:$P15,0)</f>
        <v>#N/A</v>
      </c>
      <c r="R13" s="47"/>
      <c r="S13" s="42"/>
      <c r="T13" s="42"/>
      <c r="U13" s="42"/>
      <c r="V13" s="42"/>
      <c r="W13" s="56" t="e">
        <f>VLOOKUP(F13, Table28611[#All], 2, 0)</f>
        <v>#N/A</v>
      </c>
      <c r="X13" s="56" t="e">
        <f>VLOOKUP(G13, Table28611[#All], 2, 0)</f>
        <v>#N/A</v>
      </c>
      <c r="Y13" s="56" t="e">
        <f>VLOOKUP(H13, Table28611[#All], 2, 0)</f>
        <v>#N/A</v>
      </c>
      <c r="Z13" s="56" t="e">
        <f>VLOOKUP(I13, Table28611[#All], 2, 0)</f>
        <v>#N/A</v>
      </c>
      <c r="AA13" s="56" t="e">
        <f>VLOOKUP(J13, Table28611[#All], 2, 0)</f>
        <v>#N/A</v>
      </c>
      <c r="AB13" s="56" t="e">
        <f>VLOOKUP(K13, Table28611[#All], 2, 0)</f>
        <v>#N/A</v>
      </c>
      <c r="AC13" s="56" t="e">
        <f>VLOOKUP(L13, Table28611[#All], 2, 0)</f>
        <v>#N/A</v>
      </c>
      <c r="AD13" s="66"/>
      <c r="AE13" s="67" t="e">
        <f>1/AD14</f>
        <v>#N/A</v>
      </c>
      <c r="AF13" s="54" t="e">
        <f>1/AD15</f>
        <v>#N/A</v>
      </c>
      <c r="AG13" s="55" t="e">
        <f t="shared" si="1"/>
        <v>#N/A</v>
      </c>
      <c r="AH13" s="42"/>
      <c r="AI13" s="42"/>
      <c r="AJ13" s="42"/>
      <c r="AK13" s="42"/>
      <c r="AL13" s="42"/>
      <c r="AM13" s="42"/>
      <c r="AN13" s="42"/>
      <c r="AO13" s="42"/>
      <c r="AP13" s="42"/>
      <c r="AQ13" s="42"/>
      <c r="AR13" s="42"/>
      <c r="AS13" s="42"/>
      <c r="AT13" s="42"/>
      <c r="AU13" s="42"/>
      <c r="AV13" s="42"/>
      <c r="AW13" s="42"/>
      <c r="AX13" s="42"/>
    </row>
    <row r="14" spans="1:50" s="43" customFormat="1" ht="66.400000000000006" customHeight="1">
      <c r="A14" s="42"/>
      <c r="B14" s="46"/>
      <c r="C14" s="42"/>
      <c r="D14" s="42"/>
      <c r="E14" s="38" t="s">
        <v>384</v>
      </c>
      <c r="F14" s="8"/>
      <c r="G14" s="8"/>
      <c r="H14" s="10"/>
      <c r="I14" s="8"/>
      <c r="J14" s="8"/>
      <c r="K14" s="8"/>
      <c r="L14" s="10"/>
      <c r="M14" s="10"/>
      <c r="N14" s="12"/>
      <c r="O14" s="12"/>
      <c r="P14" s="8" t="e">
        <f t="shared" si="0"/>
        <v>#N/A</v>
      </c>
      <c r="Q14" s="52" t="e">
        <f>RANK(P14,$P6:$P15,0)</f>
        <v>#N/A</v>
      </c>
      <c r="R14" s="47"/>
      <c r="S14" s="42"/>
      <c r="T14" s="42"/>
      <c r="U14" s="42"/>
      <c r="V14" s="42"/>
      <c r="W14" s="56" t="e">
        <f>VLOOKUP(F14, Table28611[#All], 2, 0)</f>
        <v>#N/A</v>
      </c>
      <c r="X14" s="56" t="e">
        <f>VLOOKUP(G14, Table28611[#All], 2, 0)</f>
        <v>#N/A</v>
      </c>
      <c r="Y14" s="56" t="e">
        <f>VLOOKUP(H14, Table28611[#All], 2, 0)</f>
        <v>#N/A</v>
      </c>
      <c r="Z14" s="56" t="e">
        <f>VLOOKUP(I14, Table28611[#All], 2, 0)</f>
        <v>#N/A</v>
      </c>
      <c r="AA14" s="56" t="e">
        <f>VLOOKUP(J14, Table28611[#All], 2, 0)</f>
        <v>#N/A</v>
      </c>
      <c r="AB14" s="56" t="e">
        <f>VLOOKUP(K14, Table28611[#All], 2, 0)</f>
        <v>#N/A</v>
      </c>
      <c r="AC14" s="56" t="e">
        <f>VLOOKUP(L14, Table28611[#All], 2, 0)</f>
        <v>#N/A</v>
      </c>
      <c r="AD14" s="56" t="e">
        <f>VLOOKUP(M14, Table28611[#All], 2, 0)</f>
        <v>#N/A</v>
      </c>
      <c r="AE14" s="66"/>
      <c r="AF14" s="54" t="e">
        <f>1/AE15</f>
        <v>#N/A</v>
      </c>
      <c r="AG14" s="55" t="e">
        <f t="shared" si="1"/>
        <v>#N/A</v>
      </c>
      <c r="AH14" s="42"/>
      <c r="AI14" s="42"/>
      <c r="AJ14" s="42"/>
      <c r="AK14" s="42"/>
      <c r="AL14" s="42"/>
      <c r="AM14" s="42"/>
      <c r="AN14" s="42"/>
      <c r="AO14" s="42"/>
      <c r="AP14" s="42"/>
      <c r="AQ14" s="42"/>
      <c r="AR14" s="42"/>
      <c r="AS14" s="42"/>
      <c r="AT14" s="42"/>
      <c r="AU14" s="42"/>
      <c r="AV14" s="42"/>
      <c r="AW14" s="42"/>
      <c r="AX14" s="42"/>
    </row>
    <row r="15" spans="1:50" s="43" customFormat="1" ht="66" customHeight="1" thickBot="1">
      <c r="A15" s="42"/>
      <c r="B15" s="46"/>
      <c r="C15" s="42"/>
      <c r="D15" s="42"/>
      <c r="E15" s="39" t="s">
        <v>162</v>
      </c>
      <c r="F15" s="5"/>
      <c r="G15" s="5"/>
      <c r="H15" s="13"/>
      <c r="I15" s="5"/>
      <c r="J15" s="13"/>
      <c r="K15" s="5"/>
      <c r="L15" s="13"/>
      <c r="M15" s="5"/>
      <c r="N15" s="13"/>
      <c r="O15" s="6"/>
      <c r="P15" s="13" t="e">
        <f t="shared" si="0"/>
        <v>#N/A</v>
      </c>
      <c r="Q15" s="57" t="e">
        <f>RANK(P15,$P6:$P15,0)</f>
        <v>#N/A</v>
      </c>
      <c r="R15" s="47"/>
      <c r="S15" s="42"/>
      <c r="T15" s="42"/>
      <c r="U15" s="42"/>
      <c r="V15" s="42"/>
      <c r="W15" s="56" t="e">
        <f>VLOOKUP(F15, Table28611[#All], 2, 0)</f>
        <v>#N/A</v>
      </c>
      <c r="X15" s="56" t="e">
        <f>VLOOKUP(G15, Table28611[#All], 2, 0)</f>
        <v>#N/A</v>
      </c>
      <c r="Y15" s="56" t="e">
        <f>VLOOKUP(H15, Table28611[#All], 2, 0)</f>
        <v>#N/A</v>
      </c>
      <c r="Z15" s="56" t="e">
        <f>VLOOKUP(I15, Table28611[#All], 2, 0)</f>
        <v>#N/A</v>
      </c>
      <c r="AA15" s="56" t="e">
        <f>VLOOKUP(J15, Table28611[#All], 2, 0)</f>
        <v>#N/A</v>
      </c>
      <c r="AB15" s="56" t="e">
        <f>VLOOKUP(K15, Table28611[#All], 2, 0)</f>
        <v>#N/A</v>
      </c>
      <c r="AC15" s="56" t="e">
        <f>VLOOKUP(L15, Table28611[#All], 2, 0)</f>
        <v>#N/A</v>
      </c>
      <c r="AD15" s="56" t="e">
        <f>VLOOKUP(M15, Table28611[#All], 2, 0)</f>
        <v>#N/A</v>
      </c>
      <c r="AE15" s="56" t="e">
        <f>VLOOKUP(N15, Table28611[#All], 2, 0)</f>
        <v>#N/A</v>
      </c>
      <c r="AF15" s="58"/>
      <c r="AG15" s="55" t="e">
        <f t="shared" si="1"/>
        <v>#N/A</v>
      </c>
      <c r="AH15" s="42"/>
      <c r="AI15" s="42"/>
      <c r="AJ15" s="42"/>
      <c r="AK15" s="42"/>
      <c r="AL15" s="42"/>
      <c r="AM15" s="42"/>
      <c r="AN15" s="42"/>
      <c r="AO15" s="42"/>
      <c r="AP15" s="42"/>
      <c r="AQ15" s="42"/>
      <c r="AR15" s="42"/>
      <c r="AS15" s="42"/>
      <c r="AT15" s="42"/>
      <c r="AU15" s="42"/>
      <c r="AV15" s="42"/>
      <c r="AW15" s="42"/>
      <c r="AX15" s="42"/>
    </row>
    <row r="16" spans="1:50" s="43" customFormat="1">
      <c r="A16" s="42"/>
      <c r="B16" s="46"/>
      <c r="C16" s="42"/>
      <c r="D16" s="42"/>
      <c r="E16" s="59"/>
      <c r="F16" s="31"/>
      <c r="G16" s="31"/>
      <c r="H16" s="31"/>
      <c r="I16" s="31"/>
      <c r="J16" s="31"/>
      <c r="K16" s="31"/>
      <c r="L16" s="31"/>
      <c r="M16" s="31"/>
      <c r="N16" s="31"/>
      <c r="O16" s="31"/>
      <c r="P16" s="42"/>
      <c r="Q16" s="42"/>
      <c r="R16" s="47"/>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row>
    <row r="17" spans="1:50" s="43" customFormat="1" ht="16.5" thickBot="1">
      <c r="A17" s="42"/>
      <c r="B17" s="62"/>
      <c r="C17" s="63"/>
      <c r="D17" s="63"/>
      <c r="E17" s="63"/>
      <c r="F17" s="33"/>
      <c r="G17" s="33"/>
      <c r="H17" s="33"/>
      <c r="I17" s="33"/>
      <c r="J17" s="33"/>
      <c r="K17" s="33"/>
      <c r="L17" s="33"/>
      <c r="M17" s="33"/>
      <c r="N17" s="33"/>
      <c r="O17" s="33"/>
      <c r="P17" s="63"/>
      <c r="Q17" s="63"/>
      <c r="R17" s="64"/>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c r="AU17" s="42"/>
      <c r="AV17" s="42"/>
      <c r="AW17" s="42"/>
      <c r="AX17" s="42"/>
    </row>
    <row r="18" spans="1:50" s="43" customFormat="1">
      <c r="A18" s="42"/>
      <c r="B18" s="42"/>
      <c r="C18" s="42"/>
      <c r="D18" s="42"/>
      <c r="E18" s="71"/>
      <c r="F18" s="31"/>
      <c r="G18" s="31"/>
      <c r="H18" s="31"/>
      <c r="I18" s="31"/>
      <c r="J18" s="31"/>
      <c r="K18" s="31"/>
      <c r="L18" s="31"/>
      <c r="M18" s="31"/>
      <c r="N18" s="31"/>
      <c r="O18" s="31"/>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row>
    <row r="19" spans="1:50" s="43" customFormat="1">
      <c r="A19" s="42"/>
      <c r="B19" s="42"/>
      <c r="C19" s="42"/>
      <c r="D19" s="42"/>
      <c r="E19" s="42"/>
      <c r="F19" s="72"/>
      <c r="G19" s="72"/>
      <c r="H19" s="72"/>
      <c r="I19" s="72"/>
      <c r="J19" s="72"/>
      <c r="K19" s="72"/>
      <c r="L19" s="72"/>
      <c r="M19" s="72"/>
      <c r="N19" s="72"/>
      <c r="O19" s="72"/>
      <c r="P19" s="73"/>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c r="AU19" s="42"/>
      <c r="AV19" s="42"/>
      <c r="AW19" s="42"/>
      <c r="AX19" s="42"/>
    </row>
    <row r="20" spans="1:50" s="43" customFormat="1">
      <c r="A20" s="42"/>
      <c r="B20" s="42"/>
      <c r="C20" s="42"/>
      <c r="D20" s="42"/>
      <c r="E20" s="71"/>
      <c r="F20" s="72"/>
      <c r="G20" s="72"/>
      <c r="H20" s="72"/>
      <c r="I20" s="72"/>
      <c r="J20" s="72"/>
      <c r="K20" s="72"/>
      <c r="L20" s="72"/>
      <c r="M20" s="72"/>
      <c r="N20" s="72"/>
      <c r="O20" s="72"/>
      <c r="P20" s="73"/>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2"/>
    </row>
    <row r="21" spans="1:50" s="43" customFormat="1">
      <c r="A21" s="42"/>
      <c r="B21" s="42"/>
      <c r="C21" s="42"/>
      <c r="D21" s="42"/>
      <c r="E21" s="31"/>
      <c r="F21" s="72"/>
      <c r="G21" s="72"/>
      <c r="H21" s="72"/>
      <c r="I21" s="72"/>
      <c r="J21" s="72"/>
      <c r="K21" s="72"/>
      <c r="L21" s="72"/>
      <c r="M21" s="72"/>
      <c r="N21" s="72"/>
      <c r="O21" s="72"/>
      <c r="P21" s="73"/>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row>
    <row r="22" spans="1:50" s="43" customFormat="1">
      <c r="A22" s="42"/>
      <c r="B22" s="42"/>
      <c r="C22" s="42"/>
      <c r="D22" s="42"/>
      <c r="E22" s="31"/>
      <c r="F22" s="72"/>
      <c r="G22" s="72"/>
      <c r="H22" s="72"/>
      <c r="I22" s="72"/>
      <c r="J22" s="72"/>
      <c r="K22" s="72"/>
      <c r="L22" s="72"/>
      <c r="M22" s="72"/>
      <c r="N22" s="72"/>
      <c r="O22" s="72"/>
      <c r="P22" s="73"/>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row>
    <row r="23" spans="1:50" s="43" customFormat="1">
      <c r="A23" s="42"/>
      <c r="B23" s="42"/>
      <c r="C23" s="42"/>
      <c r="D23" s="42"/>
      <c r="E23" s="7"/>
      <c r="F23" s="72"/>
      <c r="G23" s="72"/>
      <c r="H23" s="72"/>
      <c r="I23" s="72"/>
      <c r="J23" s="72"/>
      <c r="K23" s="72"/>
      <c r="L23" s="72"/>
      <c r="M23" s="72"/>
      <c r="N23" s="72"/>
      <c r="O23" s="72"/>
      <c r="P23" s="73"/>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row>
    <row r="24" spans="1:50" s="43" customFormat="1">
      <c r="A24" s="42"/>
      <c r="B24" s="42"/>
      <c r="C24" s="42"/>
      <c r="D24" s="42"/>
      <c r="E24" s="31"/>
      <c r="F24" s="31"/>
      <c r="G24" s="31"/>
      <c r="H24" s="31"/>
      <c r="I24" s="31"/>
      <c r="J24" s="31"/>
      <c r="K24" s="31"/>
      <c r="L24" s="31"/>
      <c r="M24" s="31"/>
      <c r="N24" s="31"/>
      <c r="O24" s="31"/>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row>
    <row r="25" spans="1:50" s="43" customFormat="1">
      <c r="A25" s="42"/>
      <c r="B25" s="42"/>
      <c r="C25" s="42"/>
      <c r="D25" s="42"/>
      <c r="E25" s="31"/>
      <c r="F25" s="31"/>
      <c r="G25" s="31"/>
      <c r="H25" s="31"/>
      <c r="I25" s="31"/>
      <c r="J25" s="31"/>
      <c r="K25" s="31"/>
      <c r="L25" s="31"/>
      <c r="M25" s="31"/>
      <c r="N25" s="31"/>
      <c r="O25" s="31"/>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row>
    <row r="26" spans="1:50" s="43" customFormat="1">
      <c r="A26" s="42"/>
      <c r="B26" s="42"/>
      <c r="C26" s="42"/>
      <c r="D26" s="42"/>
      <c r="E26" s="31"/>
      <c r="F26" s="31"/>
      <c r="G26" s="31"/>
      <c r="H26" s="31"/>
      <c r="I26" s="31"/>
      <c r="J26" s="31"/>
      <c r="K26" s="31"/>
      <c r="L26" s="31"/>
      <c r="M26" s="31"/>
      <c r="N26" s="31"/>
      <c r="O26" s="31"/>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row>
    <row r="27" spans="1:50" s="43" customFormat="1">
      <c r="A27" s="42"/>
      <c r="B27" s="42"/>
      <c r="C27" s="42"/>
      <c r="D27" s="42"/>
      <c r="E27" s="31"/>
      <c r="F27" s="31"/>
      <c r="G27" s="31"/>
      <c r="H27" s="31"/>
      <c r="I27" s="31"/>
      <c r="J27" s="31"/>
      <c r="K27" s="31"/>
      <c r="L27" s="31"/>
      <c r="M27" s="31"/>
      <c r="N27" s="31"/>
      <c r="O27" s="31"/>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row>
    <row r="28" spans="1:50" s="43" customFormat="1">
      <c r="A28" s="42"/>
      <c r="B28" s="42"/>
      <c r="C28" s="42"/>
      <c r="D28" s="42"/>
      <c r="E28" s="31"/>
      <c r="F28" s="31"/>
      <c r="G28" s="31"/>
      <c r="H28" s="31"/>
      <c r="I28" s="31"/>
      <c r="J28" s="31"/>
      <c r="K28" s="31"/>
      <c r="L28" s="31"/>
      <c r="M28" s="31"/>
      <c r="N28" s="31"/>
      <c r="O28" s="31"/>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row>
    <row r="29" spans="1:50" s="43" customFormat="1">
      <c r="A29" s="42"/>
      <c r="B29" s="42"/>
      <c r="C29" s="42"/>
      <c r="D29" s="42"/>
      <c r="E29" s="31"/>
      <c r="F29" s="31"/>
      <c r="G29" s="31"/>
      <c r="H29" s="31"/>
      <c r="I29" s="31"/>
      <c r="J29" s="31"/>
      <c r="K29" s="31"/>
      <c r="L29" s="31"/>
      <c r="M29" s="31"/>
      <c r="N29" s="31"/>
      <c r="O29" s="31"/>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row>
    <row r="30" spans="1:50" s="43" customFormat="1">
      <c r="A30" s="42"/>
      <c r="B30" s="42"/>
      <c r="C30" s="42"/>
      <c r="D30" s="42"/>
      <c r="E30" s="31"/>
      <c r="F30" s="31"/>
      <c r="G30" s="31"/>
      <c r="H30" s="31"/>
      <c r="I30" s="31"/>
      <c r="J30" s="31"/>
      <c r="K30" s="31"/>
      <c r="L30" s="31"/>
      <c r="M30" s="31"/>
      <c r="N30" s="31"/>
      <c r="O30" s="31"/>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row>
    <row r="31" spans="1:50" s="43" customFormat="1">
      <c r="A31" s="42"/>
      <c r="B31" s="42"/>
      <c r="C31" s="42"/>
      <c r="D31" s="42"/>
      <c r="E31" s="31"/>
      <c r="F31" s="31"/>
      <c r="G31" s="31"/>
      <c r="H31" s="31"/>
      <c r="I31" s="31"/>
      <c r="J31" s="31"/>
      <c r="K31" s="31"/>
      <c r="L31" s="31"/>
      <c r="M31" s="31"/>
      <c r="N31" s="31"/>
      <c r="O31" s="31"/>
      <c r="P31" s="42"/>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row>
    <row r="32" spans="1:50" s="43" customFormat="1">
      <c r="A32" s="42"/>
      <c r="B32" s="42"/>
      <c r="C32" s="42"/>
      <c r="D32" s="42"/>
      <c r="E32" s="31"/>
      <c r="F32" s="31"/>
      <c r="G32" s="31"/>
      <c r="H32" s="31"/>
      <c r="I32" s="31"/>
      <c r="J32" s="31"/>
      <c r="K32" s="31"/>
      <c r="L32" s="31"/>
      <c r="M32" s="31"/>
      <c r="N32" s="31"/>
      <c r="O32" s="31"/>
      <c r="P32" s="42"/>
      <c r="Q32" s="42"/>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P32" s="42"/>
      <c r="AQ32" s="42"/>
      <c r="AR32" s="42"/>
      <c r="AS32" s="42"/>
      <c r="AT32" s="42"/>
      <c r="AU32" s="42"/>
      <c r="AV32" s="42"/>
      <c r="AW32" s="42"/>
      <c r="AX32" s="42"/>
    </row>
    <row r="33" spans="1:50" s="43" customFormat="1">
      <c r="A33" s="42"/>
      <c r="B33" s="42"/>
      <c r="C33" s="42"/>
      <c r="D33" s="42"/>
      <c r="E33" s="31"/>
      <c r="F33" s="31"/>
      <c r="G33" s="31"/>
      <c r="H33" s="31"/>
      <c r="I33" s="31"/>
      <c r="J33" s="31"/>
      <c r="K33" s="31"/>
      <c r="L33" s="31"/>
      <c r="M33" s="31"/>
      <c r="N33" s="31"/>
      <c r="O33" s="31"/>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c r="AV33" s="42"/>
      <c r="AW33" s="42"/>
      <c r="AX33" s="42"/>
    </row>
    <row r="34" spans="1:50" s="43" customFormat="1">
      <c r="A34" s="42"/>
      <c r="B34" s="42"/>
      <c r="C34" s="42"/>
      <c r="D34" s="42"/>
      <c r="E34" s="31"/>
      <c r="F34" s="31"/>
      <c r="G34" s="31"/>
      <c r="H34" s="31"/>
      <c r="I34" s="31"/>
      <c r="J34" s="31"/>
      <c r="K34" s="31"/>
      <c r="L34" s="31"/>
      <c r="M34" s="31"/>
      <c r="N34" s="31"/>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P34" s="42"/>
      <c r="AQ34" s="42"/>
      <c r="AR34" s="42"/>
      <c r="AS34" s="42"/>
      <c r="AT34" s="42"/>
      <c r="AU34" s="42"/>
      <c r="AV34" s="42"/>
      <c r="AW34" s="42"/>
      <c r="AX34" s="42"/>
    </row>
    <row r="35" spans="1:50" s="43" customFormat="1">
      <c r="A35" s="42"/>
      <c r="B35" s="42"/>
      <c r="C35" s="42"/>
      <c r="D35" s="42"/>
      <c r="E35" s="31"/>
      <c r="F35" s="31"/>
      <c r="G35" s="31"/>
      <c r="H35" s="31"/>
      <c r="I35" s="31"/>
      <c r="J35" s="31"/>
      <c r="K35" s="31"/>
      <c r="L35" s="31"/>
      <c r="M35" s="31"/>
      <c r="N35" s="31"/>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P35" s="42"/>
      <c r="AQ35" s="42"/>
      <c r="AR35" s="42"/>
      <c r="AS35" s="42"/>
      <c r="AT35" s="42"/>
      <c r="AU35" s="42"/>
      <c r="AV35" s="42"/>
      <c r="AW35" s="42"/>
      <c r="AX35" s="42"/>
    </row>
    <row r="36" spans="1:50" s="43" customFormat="1">
      <c r="A36" s="42"/>
      <c r="B36" s="42"/>
      <c r="C36" s="42"/>
      <c r="D36" s="42"/>
      <c r="E36" s="31"/>
      <c r="F36" s="31"/>
      <c r="G36" s="31"/>
      <c r="H36" s="31"/>
      <c r="I36" s="31"/>
      <c r="J36" s="31"/>
      <c r="K36" s="31"/>
      <c r="L36" s="31"/>
      <c r="M36" s="31"/>
      <c r="N36" s="31"/>
      <c r="O36" s="31"/>
      <c r="P36" s="42"/>
      <c r="Q36" s="42"/>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2"/>
    </row>
    <row r="37" spans="1:50" s="43" customFormat="1">
      <c r="A37" s="42"/>
      <c r="B37" s="42"/>
      <c r="C37" s="42"/>
      <c r="D37" s="42"/>
      <c r="E37" s="31"/>
      <c r="F37" s="31"/>
      <c r="G37" s="31"/>
      <c r="H37" s="31"/>
      <c r="I37" s="31"/>
      <c r="J37" s="31"/>
      <c r="K37" s="31"/>
      <c r="L37" s="31"/>
      <c r="M37" s="31"/>
      <c r="N37" s="31"/>
      <c r="O37" s="31"/>
      <c r="P37" s="42"/>
      <c r="Q37" s="42"/>
      <c r="R37" s="42"/>
      <c r="S37" s="42"/>
      <c r="T37" s="42"/>
      <c r="U37" s="42"/>
      <c r="V37" s="42"/>
      <c r="W37" s="42"/>
      <c r="X37" s="42"/>
      <c r="Y37" s="42"/>
      <c r="Z37" s="42"/>
      <c r="AA37" s="42"/>
      <c r="AB37" s="42"/>
      <c r="AC37" s="42"/>
      <c r="AD37" s="42"/>
      <c r="AE37" s="42"/>
      <c r="AF37" s="42"/>
      <c r="AG37" s="42"/>
      <c r="AH37" s="42"/>
      <c r="AI37" s="42"/>
      <c r="AJ37" s="42"/>
      <c r="AK37" s="42"/>
      <c r="AL37" s="42"/>
      <c r="AM37" s="42"/>
      <c r="AN37" s="42"/>
      <c r="AO37" s="42"/>
      <c r="AP37" s="42"/>
      <c r="AQ37" s="42"/>
      <c r="AR37" s="42"/>
      <c r="AS37" s="42"/>
      <c r="AT37" s="42"/>
      <c r="AU37" s="42"/>
      <c r="AV37" s="42"/>
      <c r="AW37" s="42"/>
      <c r="AX37" s="42"/>
    </row>
    <row r="38" spans="1:50" s="43" customFormat="1">
      <c r="A38" s="42"/>
      <c r="B38" s="42"/>
      <c r="C38" s="42"/>
      <c r="D38" s="42"/>
      <c r="E38" s="31"/>
      <c r="F38" s="31"/>
      <c r="G38" s="31"/>
      <c r="H38" s="31"/>
      <c r="I38" s="31"/>
      <c r="J38" s="31"/>
      <c r="K38" s="31"/>
      <c r="L38" s="31"/>
      <c r="M38" s="31"/>
      <c r="N38" s="31"/>
      <c r="O38" s="31"/>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P38" s="42"/>
      <c r="AQ38" s="42"/>
      <c r="AR38" s="42"/>
      <c r="AS38" s="42"/>
      <c r="AT38" s="42"/>
      <c r="AU38" s="42"/>
      <c r="AV38" s="42"/>
      <c r="AW38" s="42"/>
      <c r="AX38" s="42"/>
    </row>
    <row r="39" spans="1:50" s="43" customFormat="1">
      <c r="A39" s="42"/>
      <c r="B39" s="42"/>
      <c r="C39" s="42"/>
      <c r="D39" s="42"/>
      <c r="E39" s="31"/>
      <c r="F39" s="31"/>
      <c r="G39" s="31"/>
      <c r="H39" s="31"/>
      <c r="I39" s="31"/>
      <c r="J39" s="31"/>
      <c r="K39" s="31"/>
      <c r="L39" s="31"/>
      <c r="M39" s="31"/>
      <c r="N39" s="31"/>
      <c r="O39" s="31"/>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row>
    <row r="40" spans="1:50" s="60" customFormat="1">
      <c r="A40" s="42"/>
      <c r="B40" s="42"/>
      <c r="C40" s="42"/>
      <c r="D40" s="42"/>
      <c r="E40" s="31"/>
      <c r="F40" s="31"/>
      <c r="G40" s="31"/>
      <c r="H40" s="31"/>
      <c r="I40" s="31"/>
      <c r="J40" s="31"/>
      <c r="K40" s="31"/>
      <c r="L40" s="31"/>
      <c r="M40" s="31"/>
      <c r="N40" s="31"/>
      <c r="O40" s="31"/>
      <c r="P40" s="42"/>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2"/>
    </row>
    <row r="46" spans="1:50">
      <c r="E46" s="42"/>
    </row>
  </sheetData>
  <mergeCells count="2">
    <mergeCell ref="C2:Q2"/>
    <mergeCell ref="E4:Q4"/>
  </mergeCells>
  <dataValidations count="1">
    <dataValidation type="list" allowBlank="1" showInputMessage="1" showErrorMessage="1" sqref="J11:J15 F7:F15 K12:K15 L13:L15 I10:I15 M14:M15 N15 G8:G15 H9:H15" xr:uid="{F9FB3DFC-3789-4B9B-8C81-12AAAC7B24C0}">
      <formula1>Scale</formula1>
    </dataValidation>
  </dataValidations>
  <pageMargins left="0.7" right="0.7" top="0.75" bottom="0.75" header="0.3" footer="0.3"/>
  <pageSetup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79B28-9AEA-4C43-8090-D9684D3A4EFD}">
  <dimension ref="A1:BZ31"/>
  <sheetViews>
    <sheetView topLeftCell="C1" zoomScale="51" zoomScaleNormal="115" workbookViewId="0">
      <selection activeCell="C1"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29" width="10.625" style="31" customWidth="1"/>
    <col min="30" max="31" width="10.625" style="42" customWidth="1"/>
    <col min="32" max="33" width="3.375" style="42" customWidth="1"/>
    <col min="34" max="34" width="20" style="42" hidden="1" customWidth="1"/>
    <col min="35" max="35" width="11.625" style="42" hidden="1" customWidth="1"/>
    <col min="36" max="36" width="10.875" style="42" hidden="1" customWidth="1"/>
    <col min="37" max="61" width="5.125" style="42" hidden="1" customWidth="1"/>
    <col min="62" max="64" width="10.875" style="42" customWidth="1"/>
    <col min="65" max="16384" width="10.875" style="42"/>
  </cols>
  <sheetData>
    <row r="1" spans="1:78" s="43" customFormat="1" ht="16.5" thickBot="1">
      <c r="A1" s="42"/>
      <c r="B1" s="42"/>
      <c r="C1" s="42"/>
      <c r="D1" s="42"/>
      <c r="E1" s="31"/>
      <c r="F1" s="31"/>
      <c r="G1" s="31"/>
      <c r="H1" s="31"/>
      <c r="I1" s="31"/>
      <c r="J1" s="31"/>
      <c r="K1" s="31"/>
      <c r="L1" s="31"/>
      <c r="M1" s="31"/>
      <c r="N1" s="31"/>
      <c r="O1" s="31"/>
      <c r="P1" s="31"/>
      <c r="Q1" s="31"/>
      <c r="R1" s="31"/>
      <c r="S1" s="31"/>
      <c r="T1" s="31"/>
      <c r="U1" s="31"/>
      <c r="V1" s="31"/>
      <c r="W1" s="31"/>
      <c r="X1" s="31"/>
      <c r="Y1" s="31"/>
      <c r="Z1" s="31"/>
      <c r="AA1" s="31"/>
      <c r="AB1" s="31"/>
      <c r="AC1" s="31"/>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c r="BP1" s="42"/>
      <c r="BQ1" s="42"/>
      <c r="BR1" s="42"/>
      <c r="BS1" s="42"/>
      <c r="BT1" s="42"/>
      <c r="BU1" s="42"/>
      <c r="BV1" s="42"/>
      <c r="BW1" s="42"/>
      <c r="BX1" s="42"/>
      <c r="BY1" s="42"/>
      <c r="BZ1" s="42"/>
    </row>
    <row r="2" spans="1:78" s="43" customFormat="1" ht="26.25">
      <c r="A2" s="42"/>
      <c r="B2" s="44"/>
      <c r="C2" s="96" t="s">
        <v>163</v>
      </c>
      <c r="D2" s="96"/>
      <c r="E2" s="96"/>
      <c r="F2" s="96"/>
      <c r="G2" s="96"/>
      <c r="H2" s="96"/>
      <c r="I2" s="96"/>
      <c r="J2" s="96"/>
      <c r="K2" s="96"/>
      <c r="L2" s="96"/>
      <c r="M2" s="96"/>
      <c r="N2" s="96"/>
      <c r="O2" s="96"/>
      <c r="P2" s="96"/>
      <c r="Q2" s="96"/>
      <c r="R2" s="96"/>
      <c r="S2" s="96"/>
      <c r="T2" s="96"/>
      <c r="U2" s="96"/>
      <c r="V2" s="96"/>
      <c r="W2" s="96"/>
      <c r="X2" s="96"/>
      <c r="Y2" s="96"/>
      <c r="Z2" s="96"/>
      <c r="AA2" s="96"/>
      <c r="AB2" s="96"/>
      <c r="AC2" s="96"/>
      <c r="AD2" s="96"/>
      <c r="AE2" s="96"/>
      <c r="AF2" s="45"/>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row>
    <row r="3" spans="1:78" s="43" customFormat="1" ht="21.75" thickBot="1">
      <c r="A3" s="42"/>
      <c r="B3" s="46"/>
      <c r="C3" s="42"/>
      <c r="D3" s="42"/>
      <c r="E3" s="4"/>
      <c r="F3" s="4"/>
      <c r="G3" s="4"/>
      <c r="H3" s="4"/>
      <c r="I3" s="4"/>
      <c r="J3" s="4"/>
      <c r="K3" s="4"/>
      <c r="L3" s="4"/>
      <c r="M3" s="4"/>
      <c r="N3" s="4"/>
      <c r="O3" s="4"/>
      <c r="P3" s="4"/>
      <c r="Q3" s="4"/>
      <c r="R3" s="4"/>
      <c r="S3" s="4"/>
      <c r="T3" s="4"/>
      <c r="U3" s="4"/>
      <c r="V3" s="4"/>
      <c r="W3" s="4"/>
      <c r="X3" s="4"/>
      <c r="Y3" s="4"/>
      <c r="Z3" s="4"/>
      <c r="AA3" s="4"/>
      <c r="AB3" s="4"/>
      <c r="AC3" s="4"/>
      <c r="AD3" s="4"/>
      <c r="AE3" s="4"/>
      <c r="AF3" s="47"/>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row>
    <row r="4" spans="1:78" s="43" customFormat="1" ht="21.75" thickBot="1">
      <c r="A4" s="42"/>
      <c r="B4" s="46"/>
      <c r="C4" s="3" t="s">
        <v>11</v>
      </c>
      <c r="D4" s="4"/>
      <c r="E4" s="100" t="s">
        <v>12</v>
      </c>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2"/>
      <c r="AF4" s="47"/>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row>
    <row r="5" spans="1:78" s="43" customFormat="1">
      <c r="A5" s="42"/>
      <c r="B5" s="46"/>
      <c r="C5" s="74"/>
      <c r="D5" s="42"/>
      <c r="E5" s="75" t="s">
        <v>13</v>
      </c>
      <c r="F5" s="32" t="s">
        <v>164</v>
      </c>
      <c r="G5" s="32" t="s">
        <v>165</v>
      </c>
      <c r="H5" s="32" t="s">
        <v>166</v>
      </c>
      <c r="I5" s="32" t="s">
        <v>167</v>
      </c>
      <c r="J5" s="32" t="s">
        <v>168</v>
      </c>
      <c r="K5" s="32" t="s">
        <v>169</v>
      </c>
      <c r="L5" s="32" t="s">
        <v>170</v>
      </c>
      <c r="M5" s="86" t="s">
        <v>171</v>
      </c>
      <c r="N5" s="86" t="s">
        <v>172</v>
      </c>
      <c r="O5" s="86" t="s">
        <v>173</v>
      </c>
      <c r="P5" s="86" t="s">
        <v>174</v>
      </c>
      <c r="Q5" s="32" t="s">
        <v>175</v>
      </c>
      <c r="R5" s="32" t="s">
        <v>176</v>
      </c>
      <c r="S5" s="32" t="s">
        <v>177</v>
      </c>
      <c r="T5" s="32" t="s">
        <v>178</v>
      </c>
      <c r="U5" s="32" t="s">
        <v>179</v>
      </c>
      <c r="V5" s="32" t="s">
        <v>387</v>
      </c>
      <c r="W5" s="87" t="s">
        <v>180</v>
      </c>
      <c r="X5" s="32" t="s">
        <v>181</v>
      </c>
      <c r="Y5" s="87" t="s">
        <v>182</v>
      </c>
      <c r="Z5" s="32" t="s">
        <v>183</v>
      </c>
      <c r="AA5" s="32" t="s">
        <v>184</v>
      </c>
      <c r="AB5" s="32" t="s">
        <v>185</v>
      </c>
      <c r="AC5" s="32" t="s">
        <v>186</v>
      </c>
      <c r="AD5" s="32" t="s">
        <v>14</v>
      </c>
      <c r="AE5" s="76" t="s">
        <v>15</v>
      </c>
      <c r="AF5" s="47"/>
      <c r="AG5" s="42"/>
      <c r="AH5" s="42" t="s">
        <v>16</v>
      </c>
      <c r="AI5" s="42" t="s">
        <v>17</v>
      </c>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row>
    <row r="6" spans="1:78" s="43" customFormat="1" ht="48.4" customHeight="1">
      <c r="A6" s="42"/>
      <c r="B6" s="46"/>
      <c r="C6" s="48"/>
      <c r="D6" s="42"/>
      <c r="E6" s="37" t="s">
        <v>437</v>
      </c>
      <c r="F6" s="9"/>
      <c r="G6" s="9"/>
      <c r="H6" s="9"/>
      <c r="I6" s="9"/>
      <c r="J6" s="9"/>
      <c r="K6" s="9"/>
      <c r="L6" s="9"/>
      <c r="M6" s="9"/>
      <c r="N6" s="9"/>
      <c r="O6" s="9"/>
      <c r="P6" s="9"/>
      <c r="Q6" s="9"/>
      <c r="R6" s="9"/>
      <c r="S6" s="9"/>
      <c r="T6" s="9"/>
      <c r="U6" s="9"/>
      <c r="V6" s="9"/>
      <c r="W6" s="9"/>
      <c r="X6" s="9"/>
      <c r="Y6" s="9"/>
      <c r="Z6" s="9"/>
      <c r="AA6" s="9"/>
      <c r="AB6" s="9"/>
      <c r="AC6" s="9"/>
      <c r="AD6" s="8" t="e">
        <f t="shared" ref="AD6:AD29" si="0">BI6</f>
        <v>#N/A</v>
      </c>
      <c r="AE6" s="52" t="e">
        <f>RANK(AD6,$AD6:$AD29,0)</f>
        <v>#N/A</v>
      </c>
      <c r="AF6" s="47"/>
      <c r="AG6" s="42"/>
      <c r="AH6" s="42" t="s">
        <v>18</v>
      </c>
      <c r="AI6" s="42">
        <v>10</v>
      </c>
      <c r="AJ6" s="42"/>
      <c r="AK6" s="53"/>
      <c r="AL6" s="54" t="e">
        <f>1/AK7</f>
        <v>#N/A</v>
      </c>
      <c r="AM6" s="54" t="e">
        <f>1/AK8</f>
        <v>#N/A</v>
      </c>
      <c r="AN6" s="54" t="e">
        <f>1/AK9</f>
        <v>#N/A</v>
      </c>
      <c r="AO6" s="54" t="e">
        <f>1/AK10</f>
        <v>#N/A</v>
      </c>
      <c r="AP6" s="54" t="e">
        <f>1/AK11</f>
        <v>#N/A</v>
      </c>
      <c r="AQ6" s="54" t="e">
        <f>1/AK12</f>
        <v>#N/A</v>
      </c>
      <c r="AR6" s="54" t="e">
        <f>1/AK13</f>
        <v>#N/A</v>
      </c>
      <c r="AS6" s="54" t="e">
        <f>1/AK14</f>
        <v>#N/A</v>
      </c>
      <c r="AT6" s="54" t="e">
        <f>1/AK15</f>
        <v>#N/A</v>
      </c>
      <c r="AU6" s="54" t="e">
        <f>1/AK16</f>
        <v>#N/A</v>
      </c>
      <c r="AV6" s="54" t="e">
        <f>1/AK17</f>
        <v>#N/A</v>
      </c>
      <c r="AW6" s="54" t="e">
        <f>1/AK18</f>
        <v>#N/A</v>
      </c>
      <c r="AX6" s="54" t="e">
        <f>1/AK19</f>
        <v>#N/A</v>
      </c>
      <c r="AY6" s="54" t="e">
        <f>1/AK20</f>
        <v>#N/A</v>
      </c>
      <c r="AZ6" s="54" t="e">
        <f>1/AK21</f>
        <v>#N/A</v>
      </c>
      <c r="BA6" s="54" t="e">
        <f>1/AK22</f>
        <v>#N/A</v>
      </c>
      <c r="BB6" s="54" t="e">
        <f>1/AK23</f>
        <v>#N/A</v>
      </c>
      <c r="BC6" s="54" t="e">
        <f>1/AK24</f>
        <v>#N/A</v>
      </c>
      <c r="BD6" s="54" t="e">
        <f>1/AK25</f>
        <v>#N/A</v>
      </c>
      <c r="BE6" s="54" t="e">
        <f>1/AK26</f>
        <v>#N/A</v>
      </c>
      <c r="BF6" s="54" t="e">
        <f>1/AK27</f>
        <v>#N/A</v>
      </c>
      <c r="BG6" s="54" t="e">
        <f>1/AK28</f>
        <v>#N/A</v>
      </c>
      <c r="BH6" s="54" t="e">
        <f>1/AK29</f>
        <v>#N/A</v>
      </c>
      <c r="BI6" s="55" t="e">
        <f t="shared" ref="BI6:BI29" si="1">SUM(AK6:BH6)</f>
        <v>#N/A</v>
      </c>
      <c r="BJ6" s="42"/>
      <c r="BK6" s="42"/>
      <c r="BL6" s="42"/>
      <c r="BM6" s="42"/>
      <c r="BN6" s="42"/>
      <c r="BO6" s="42"/>
      <c r="BP6" s="42"/>
      <c r="BQ6" s="42"/>
      <c r="BR6" s="42"/>
      <c r="BS6" s="42"/>
      <c r="BT6" s="42"/>
      <c r="BU6" s="42"/>
      <c r="BV6" s="42"/>
      <c r="BW6" s="42"/>
      <c r="BX6" s="42"/>
      <c r="BY6" s="42"/>
      <c r="BZ6" s="42"/>
    </row>
    <row r="7" spans="1:78" s="43" customFormat="1" ht="54.95" customHeight="1">
      <c r="A7" s="42"/>
      <c r="B7" s="46"/>
      <c r="C7" s="48"/>
      <c r="D7" s="42"/>
      <c r="E7" s="37" t="s">
        <v>436</v>
      </c>
      <c r="F7" s="8"/>
      <c r="G7" s="9"/>
      <c r="H7" s="9"/>
      <c r="I7" s="9"/>
      <c r="J7" s="9"/>
      <c r="K7" s="9"/>
      <c r="L7" s="9"/>
      <c r="M7" s="9"/>
      <c r="N7" s="9"/>
      <c r="O7" s="9"/>
      <c r="P7" s="9"/>
      <c r="Q7" s="9"/>
      <c r="R7" s="9"/>
      <c r="S7" s="9"/>
      <c r="T7" s="9"/>
      <c r="U7" s="9"/>
      <c r="V7" s="9"/>
      <c r="W7" s="9"/>
      <c r="X7" s="9"/>
      <c r="Y7" s="9"/>
      <c r="Z7" s="9"/>
      <c r="AA7" s="9"/>
      <c r="AB7" s="9"/>
      <c r="AC7" s="9"/>
      <c r="AD7" s="8" t="e">
        <f t="shared" si="0"/>
        <v>#N/A</v>
      </c>
      <c r="AE7" s="52" t="e">
        <f>RANK(AD7,$AD6:$AD29,0)</f>
        <v>#N/A</v>
      </c>
      <c r="AF7" s="47"/>
      <c r="AG7" s="42"/>
      <c r="AH7" s="42" t="s">
        <v>19</v>
      </c>
      <c r="AI7" s="42">
        <v>5</v>
      </c>
      <c r="AJ7" s="42"/>
      <c r="AK7" s="56" t="e">
        <f>VLOOKUP(F7, Table283781012[#All], 2, 0)</f>
        <v>#N/A</v>
      </c>
      <c r="AL7" s="53"/>
      <c r="AM7" s="54" t="e">
        <f>1/AL8</f>
        <v>#N/A</v>
      </c>
      <c r="AN7" s="54" t="e">
        <f>1/AL9</f>
        <v>#N/A</v>
      </c>
      <c r="AO7" s="54" t="e">
        <f>1/AL10</f>
        <v>#N/A</v>
      </c>
      <c r="AP7" s="54" t="e">
        <f>1/AL11</f>
        <v>#N/A</v>
      </c>
      <c r="AQ7" s="54" t="e">
        <f>1/AL12</f>
        <v>#N/A</v>
      </c>
      <c r="AR7" s="54" t="e">
        <f>1/AL13</f>
        <v>#N/A</v>
      </c>
      <c r="AS7" s="54" t="e">
        <f>1/AL14</f>
        <v>#N/A</v>
      </c>
      <c r="AT7" s="54" t="e">
        <f>1/AL15</f>
        <v>#N/A</v>
      </c>
      <c r="AU7" s="54" t="e">
        <f>1/AL16</f>
        <v>#N/A</v>
      </c>
      <c r="AV7" s="54" t="e">
        <f>1/AL17</f>
        <v>#N/A</v>
      </c>
      <c r="AW7" s="54" t="e">
        <f>1/AL18</f>
        <v>#N/A</v>
      </c>
      <c r="AX7" s="54" t="e">
        <f>1/AL19</f>
        <v>#N/A</v>
      </c>
      <c r="AY7" s="54" t="e">
        <f>1/AL20</f>
        <v>#N/A</v>
      </c>
      <c r="AZ7" s="54" t="e">
        <f>1/AL21</f>
        <v>#N/A</v>
      </c>
      <c r="BA7" s="54" t="e">
        <f>1/AL22</f>
        <v>#N/A</v>
      </c>
      <c r="BB7" s="54" t="e">
        <f>1/AL23</f>
        <v>#N/A</v>
      </c>
      <c r="BC7" s="54" t="e">
        <f>1/AL24</f>
        <v>#N/A</v>
      </c>
      <c r="BD7" s="54" t="e">
        <f>1/AL25</f>
        <v>#N/A</v>
      </c>
      <c r="BE7" s="54" t="e">
        <f>1/AL26</f>
        <v>#N/A</v>
      </c>
      <c r="BF7" s="54" t="e">
        <f>1/AL27</f>
        <v>#N/A</v>
      </c>
      <c r="BG7" s="54" t="e">
        <f>1/AL28</f>
        <v>#N/A</v>
      </c>
      <c r="BH7" s="54" t="e">
        <f>1/AL29</f>
        <v>#N/A</v>
      </c>
      <c r="BI7" s="55" t="e">
        <f t="shared" si="1"/>
        <v>#N/A</v>
      </c>
      <c r="BJ7" s="42"/>
      <c r="BK7" s="42"/>
      <c r="BL7" s="42"/>
      <c r="BM7" s="42"/>
      <c r="BN7" s="42"/>
      <c r="BO7" s="42"/>
      <c r="BP7" s="42"/>
      <c r="BQ7" s="42"/>
      <c r="BR7" s="42"/>
      <c r="BS7" s="42"/>
      <c r="BT7" s="42"/>
      <c r="BU7" s="42"/>
      <c r="BV7" s="42"/>
      <c r="BW7" s="42"/>
      <c r="BX7" s="42"/>
      <c r="BY7" s="42"/>
      <c r="BZ7" s="42"/>
    </row>
    <row r="8" spans="1:78" s="43" customFormat="1" ht="51.4" customHeight="1">
      <c r="A8" s="42"/>
      <c r="B8" s="46"/>
      <c r="C8" s="48"/>
      <c r="D8" s="42"/>
      <c r="E8" s="37" t="s">
        <v>435</v>
      </c>
      <c r="F8" s="8"/>
      <c r="G8" s="8"/>
      <c r="H8" s="9"/>
      <c r="I8" s="9"/>
      <c r="J8" s="9"/>
      <c r="K8" s="9"/>
      <c r="L8" s="9"/>
      <c r="M8" s="9"/>
      <c r="N8" s="9"/>
      <c r="O8" s="9"/>
      <c r="P8" s="9"/>
      <c r="Q8" s="9"/>
      <c r="R8" s="9"/>
      <c r="S8" s="9"/>
      <c r="T8" s="9"/>
      <c r="U8" s="9"/>
      <c r="V8" s="9"/>
      <c r="W8" s="9"/>
      <c r="X8" s="9"/>
      <c r="Y8" s="9"/>
      <c r="Z8" s="9"/>
      <c r="AA8" s="9"/>
      <c r="AB8" s="9"/>
      <c r="AC8" s="9"/>
      <c r="AD8" s="8" t="e">
        <f t="shared" si="0"/>
        <v>#N/A</v>
      </c>
      <c r="AE8" s="52" t="e">
        <f>RANK(AD8,$AD6:$AD29,0)</f>
        <v>#N/A</v>
      </c>
      <c r="AF8" s="47"/>
      <c r="AG8" s="42"/>
      <c r="AH8" s="42" t="s">
        <v>20</v>
      </c>
      <c r="AI8" s="42">
        <v>1</v>
      </c>
      <c r="AJ8" s="42"/>
      <c r="AK8" s="56" t="e">
        <f>VLOOKUP(F8, Table283781012[#All], 2, 0)</f>
        <v>#N/A</v>
      </c>
      <c r="AL8" s="56" t="e">
        <f>VLOOKUP(G8, Table283781012[#All], 2, 0)</f>
        <v>#N/A</v>
      </c>
      <c r="AM8" s="53"/>
      <c r="AN8" s="54" t="e">
        <f>1/AM9</f>
        <v>#N/A</v>
      </c>
      <c r="AO8" s="54" t="e">
        <f>1/AM10</f>
        <v>#N/A</v>
      </c>
      <c r="AP8" s="54" t="e">
        <f>1/AM11</f>
        <v>#N/A</v>
      </c>
      <c r="AQ8" s="54" t="e">
        <f>1/AM12</f>
        <v>#N/A</v>
      </c>
      <c r="AR8" s="54" t="e">
        <f>1/AM13</f>
        <v>#N/A</v>
      </c>
      <c r="AS8" s="54" t="e">
        <f>1/AM14</f>
        <v>#N/A</v>
      </c>
      <c r="AT8" s="54" t="e">
        <f>1/AM15</f>
        <v>#N/A</v>
      </c>
      <c r="AU8" s="54" t="e">
        <f>1/AM16</f>
        <v>#N/A</v>
      </c>
      <c r="AV8" s="54" t="e">
        <f>1/AM17</f>
        <v>#N/A</v>
      </c>
      <c r="AW8" s="54" t="e">
        <f>1/AM18</f>
        <v>#N/A</v>
      </c>
      <c r="AX8" s="54" t="e">
        <f>1/AM19</f>
        <v>#N/A</v>
      </c>
      <c r="AY8" s="54" t="e">
        <f>1/AM20</f>
        <v>#N/A</v>
      </c>
      <c r="AZ8" s="54" t="e">
        <f>1/AM21</f>
        <v>#N/A</v>
      </c>
      <c r="BA8" s="54" t="e">
        <f>1/AM22</f>
        <v>#N/A</v>
      </c>
      <c r="BB8" s="54" t="e">
        <f>1/AM23</f>
        <v>#N/A</v>
      </c>
      <c r="BC8" s="54" t="e">
        <f>1/AM24</f>
        <v>#N/A</v>
      </c>
      <c r="BD8" s="54" t="e">
        <f>1/AM25</f>
        <v>#N/A</v>
      </c>
      <c r="BE8" s="54" t="e">
        <f>1/AM26</f>
        <v>#N/A</v>
      </c>
      <c r="BF8" s="54" t="e">
        <f>1/AM27</f>
        <v>#N/A</v>
      </c>
      <c r="BG8" s="54" t="e">
        <f>1/AM28</f>
        <v>#N/A</v>
      </c>
      <c r="BH8" s="54" t="e">
        <f>1/AM29</f>
        <v>#N/A</v>
      </c>
      <c r="BI8" s="55" t="e">
        <f t="shared" si="1"/>
        <v>#N/A</v>
      </c>
      <c r="BJ8" s="42"/>
      <c r="BK8" s="42"/>
      <c r="BL8" s="42"/>
      <c r="BM8" s="42"/>
      <c r="BN8" s="42"/>
      <c r="BO8" s="42"/>
      <c r="BP8" s="42"/>
      <c r="BQ8" s="42"/>
      <c r="BR8" s="42"/>
      <c r="BS8" s="42"/>
      <c r="BT8" s="42"/>
      <c r="BU8" s="42"/>
      <c r="BV8" s="42"/>
      <c r="BW8" s="42"/>
      <c r="BX8" s="42"/>
      <c r="BY8" s="42"/>
      <c r="BZ8" s="42"/>
    </row>
    <row r="9" spans="1:78" s="43" customFormat="1" ht="39.950000000000003" customHeight="1">
      <c r="A9" s="42"/>
      <c r="B9" s="46"/>
      <c r="C9" s="48"/>
      <c r="D9" s="42"/>
      <c r="E9" s="38" t="s">
        <v>434</v>
      </c>
      <c r="F9" s="8"/>
      <c r="G9" s="8"/>
      <c r="H9" s="10"/>
      <c r="I9" s="9"/>
      <c r="J9" s="9"/>
      <c r="K9" s="9"/>
      <c r="L9" s="9"/>
      <c r="M9" s="9"/>
      <c r="N9" s="9"/>
      <c r="O9" s="9"/>
      <c r="P9" s="9"/>
      <c r="Q9" s="9"/>
      <c r="R9" s="9"/>
      <c r="S9" s="9"/>
      <c r="T9" s="9"/>
      <c r="U9" s="9"/>
      <c r="V9" s="9"/>
      <c r="W9" s="9"/>
      <c r="X9" s="9"/>
      <c r="Y9" s="9"/>
      <c r="Z9" s="9"/>
      <c r="AA9" s="9"/>
      <c r="AB9" s="9"/>
      <c r="AC9" s="9"/>
      <c r="AD9" s="8" t="e">
        <f t="shared" si="0"/>
        <v>#N/A</v>
      </c>
      <c r="AE9" s="52" t="e">
        <f>RANK(AD9,$AD6:$AD29,0)</f>
        <v>#N/A</v>
      </c>
      <c r="AF9" s="47"/>
      <c r="AG9" s="42"/>
      <c r="AH9" s="42" t="s">
        <v>21</v>
      </c>
      <c r="AI9" s="42">
        <v>0.2</v>
      </c>
      <c r="AJ9" s="42"/>
      <c r="AK9" s="56" t="e">
        <f>VLOOKUP(F9, Table283781012[#All], 2, 0)</f>
        <v>#N/A</v>
      </c>
      <c r="AL9" s="56" t="e">
        <f>VLOOKUP(G9, Table283781012[#All], 2, 0)</f>
        <v>#N/A</v>
      </c>
      <c r="AM9" s="56" t="e">
        <f>VLOOKUP(H9, Table283781012[#All], 2, 0)</f>
        <v>#N/A</v>
      </c>
      <c r="AN9" s="53"/>
      <c r="AO9" s="54" t="e">
        <f>1/AN10</f>
        <v>#N/A</v>
      </c>
      <c r="AP9" s="54" t="e">
        <f>1/AN11</f>
        <v>#N/A</v>
      </c>
      <c r="AQ9" s="54" t="e">
        <f>1/AN12</f>
        <v>#N/A</v>
      </c>
      <c r="AR9" s="54" t="e">
        <f>1/AN13</f>
        <v>#N/A</v>
      </c>
      <c r="AS9" s="54" t="e">
        <f>1/AN14</f>
        <v>#N/A</v>
      </c>
      <c r="AT9" s="54" t="e">
        <f>1/AN15</f>
        <v>#N/A</v>
      </c>
      <c r="AU9" s="54" t="e">
        <f>1/AN16</f>
        <v>#N/A</v>
      </c>
      <c r="AV9" s="54" t="e">
        <f>1/AN17</f>
        <v>#N/A</v>
      </c>
      <c r="AW9" s="54" t="e">
        <f>1/AN18</f>
        <v>#N/A</v>
      </c>
      <c r="AX9" s="54" t="e">
        <f>1/AN19</f>
        <v>#N/A</v>
      </c>
      <c r="AY9" s="54" t="e">
        <f>1/AN20</f>
        <v>#N/A</v>
      </c>
      <c r="AZ9" s="54" t="e">
        <f>1/AN21</f>
        <v>#N/A</v>
      </c>
      <c r="BA9" s="54" t="e">
        <f>1/AN22</f>
        <v>#N/A</v>
      </c>
      <c r="BB9" s="54" t="e">
        <f>1/AN23</f>
        <v>#N/A</v>
      </c>
      <c r="BC9" s="54" t="e">
        <f>1/AN24</f>
        <v>#N/A</v>
      </c>
      <c r="BD9" s="54" t="e">
        <f>1/AN25</f>
        <v>#N/A</v>
      </c>
      <c r="BE9" s="54" t="e">
        <f>1/AN26</f>
        <v>#N/A</v>
      </c>
      <c r="BF9" s="54" t="e">
        <f>1/AN27</f>
        <v>#N/A</v>
      </c>
      <c r="BG9" s="54" t="e">
        <f>1/AN28</f>
        <v>#N/A</v>
      </c>
      <c r="BH9" s="54" t="e">
        <f>1/AN29</f>
        <v>#N/A</v>
      </c>
      <c r="BI9" s="55" t="e">
        <f t="shared" si="1"/>
        <v>#N/A</v>
      </c>
      <c r="BJ9" s="42"/>
      <c r="BK9" s="42"/>
      <c r="BL9" s="42"/>
      <c r="BM9" s="42"/>
      <c r="BN9" s="42"/>
      <c r="BO9" s="42"/>
      <c r="BP9" s="42"/>
      <c r="BQ9" s="42"/>
      <c r="BR9" s="42"/>
      <c r="BS9" s="42"/>
      <c r="BT9" s="42"/>
      <c r="BU9" s="42"/>
      <c r="BV9" s="42"/>
      <c r="BW9" s="42"/>
      <c r="BX9" s="42"/>
      <c r="BY9" s="42"/>
      <c r="BZ9" s="42"/>
    </row>
    <row r="10" spans="1:78" s="43" customFormat="1" ht="39.950000000000003" customHeight="1">
      <c r="A10" s="42"/>
      <c r="B10" s="46"/>
      <c r="C10" s="48"/>
      <c r="D10" s="42"/>
      <c r="E10" s="38" t="s">
        <v>385</v>
      </c>
      <c r="F10" s="10"/>
      <c r="G10" s="8"/>
      <c r="H10" s="8"/>
      <c r="I10" s="10"/>
      <c r="J10" s="11"/>
      <c r="K10" s="11"/>
      <c r="L10" s="11"/>
      <c r="M10" s="11"/>
      <c r="N10" s="11"/>
      <c r="O10" s="11"/>
      <c r="P10" s="11"/>
      <c r="Q10" s="11"/>
      <c r="R10" s="11"/>
      <c r="S10" s="11"/>
      <c r="T10" s="11"/>
      <c r="U10" s="11"/>
      <c r="V10" s="11"/>
      <c r="W10" s="11"/>
      <c r="X10" s="11"/>
      <c r="Y10" s="11"/>
      <c r="Z10" s="11"/>
      <c r="AA10" s="11"/>
      <c r="AB10" s="11"/>
      <c r="AC10" s="11"/>
      <c r="AD10" s="8" t="e">
        <f t="shared" si="0"/>
        <v>#N/A</v>
      </c>
      <c r="AE10" s="52" t="e">
        <f>RANK(AD10,$AD6:$AD29,0)</f>
        <v>#N/A</v>
      </c>
      <c r="AF10" s="47"/>
      <c r="AG10" s="42"/>
      <c r="AH10" s="42" t="s">
        <v>22</v>
      </c>
      <c r="AI10" s="42">
        <v>0.1</v>
      </c>
      <c r="AJ10" s="42"/>
      <c r="AK10" s="56" t="e">
        <f>VLOOKUP(F10, Table283781012[#All], 2, 0)</f>
        <v>#N/A</v>
      </c>
      <c r="AL10" s="56" t="e">
        <f>VLOOKUP(G10, Table283781012[#All], 2, 0)</f>
        <v>#N/A</v>
      </c>
      <c r="AM10" s="56" t="e">
        <f>VLOOKUP(H10, Table283781012[#All], 2, 0)</f>
        <v>#N/A</v>
      </c>
      <c r="AN10" s="56" t="e">
        <f>VLOOKUP(I10, Table283781012[#All], 2, 0)</f>
        <v>#N/A</v>
      </c>
      <c r="AO10" s="53"/>
      <c r="AP10" s="54" t="e">
        <f>1/AO11</f>
        <v>#N/A</v>
      </c>
      <c r="AQ10" s="54" t="e">
        <f>1/AO12</f>
        <v>#N/A</v>
      </c>
      <c r="AR10" s="54" t="e">
        <f>1/AO13</f>
        <v>#N/A</v>
      </c>
      <c r="AS10" s="54" t="e">
        <f>1/AO14</f>
        <v>#N/A</v>
      </c>
      <c r="AT10" s="54" t="e">
        <f>1/AO15</f>
        <v>#N/A</v>
      </c>
      <c r="AU10" s="54" t="e">
        <f>1/AO16</f>
        <v>#N/A</v>
      </c>
      <c r="AV10" s="54" t="e">
        <f>1/AO17</f>
        <v>#N/A</v>
      </c>
      <c r="AW10" s="54" t="e">
        <f>1/AO18</f>
        <v>#N/A</v>
      </c>
      <c r="AX10" s="54" t="e">
        <f>1/AO19</f>
        <v>#N/A</v>
      </c>
      <c r="AY10" s="54" t="e">
        <f>1/AO20</f>
        <v>#N/A</v>
      </c>
      <c r="AZ10" s="54" t="e">
        <f>1/AO21</f>
        <v>#N/A</v>
      </c>
      <c r="BA10" s="54" t="e">
        <f>1/AO22</f>
        <v>#N/A</v>
      </c>
      <c r="BB10" s="54" t="e">
        <f>1/AO23</f>
        <v>#N/A</v>
      </c>
      <c r="BC10" s="54" t="e">
        <f>1/AO24</f>
        <v>#N/A</v>
      </c>
      <c r="BD10" s="54" t="e">
        <f>1/AO25</f>
        <v>#N/A</v>
      </c>
      <c r="BE10" s="54" t="e">
        <f>1/AO26</f>
        <v>#N/A</v>
      </c>
      <c r="BF10" s="54" t="e">
        <f>1/AO27</f>
        <v>#N/A</v>
      </c>
      <c r="BG10" s="54" t="e">
        <f>1/AO28</f>
        <v>#N/A</v>
      </c>
      <c r="BH10" s="54" t="e">
        <f>1/AO29</f>
        <v>#N/A</v>
      </c>
      <c r="BI10" s="55" t="e">
        <f t="shared" si="1"/>
        <v>#N/A</v>
      </c>
      <c r="BJ10" s="42"/>
      <c r="BK10" s="42"/>
      <c r="BL10" s="42"/>
      <c r="BM10" s="42"/>
      <c r="BN10" s="42"/>
      <c r="BO10" s="42"/>
      <c r="BP10" s="42"/>
      <c r="BQ10" s="42"/>
      <c r="BR10" s="42"/>
      <c r="BS10" s="42"/>
      <c r="BT10" s="42"/>
      <c r="BU10" s="42"/>
      <c r="BV10" s="42"/>
      <c r="BW10" s="42"/>
      <c r="BX10" s="42"/>
      <c r="BY10" s="42"/>
      <c r="BZ10" s="42"/>
    </row>
    <row r="11" spans="1:78" s="43" customFormat="1" ht="39.950000000000003" customHeight="1">
      <c r="A11" s="42"/>
      <c r="B11" s="46"/>
      <c r="C11" s="48"/>
      <c r="D11" s="42"/>
      <c r="E11" s="38" t="s">
        <v>433</v>
      </c>
      <c r="F11" s="8"/>
      <c r="G11" s="8"/>
      <c r="H11" s="10"/>
      <c r="I11" s="8"/>
      <c r="J11" s="8"/>
      <c r="K11" s="11"/>
      <c r="L11" s="11"/>
      <c r="M11" s="11"/>
      <c r="N11" s="11"/>
      <c r="O11" s="11"/>
      <c r="P11" s="11"/>
      <c r="Q11" s="11"/>
      <c r="R11" s="11"/>
      <c r="S11" s="11"/>
      <c r="T11" s="11"/>
      <c r="U11" s="11"/>
      <c r="V11" s="11"/>
      <c r="W11" s="11"/>
      <c r="X11" s="11"/>
      <c r="Y11" s="11"/>
      <c r="Z11" s="11"/>
      <c r="AA11" s="11"/>
      <c r="AB11" s="11"/>
      <c r="AC11" s="11"/>
      <c r="AD11" s="8" t="e">
        <f t="shared" si="0"/>
        <v>#N/A</v>
      </c>
      <c r="AE11" s="52" t="e">
        <f>RANK(AD11,$AD6:$AD29,0)</f>
        <v>#N/A</v>
      </c>
      <c r="AF11" s="47"/>
      <c r="AG11" s="42"/>
      <c r="AH11" s="42"/>
      <c r="AI11" s="42"/>
      <c r="AJ11" s="42"/>
      <c r="AK11" s="56" t="e">
        <f>VLOOKUP(F11, Table283781012[#All], 2, 0)</f>
        <v>#N/A</v>
      </c>
      <c r="AL11" s="56" t="e">
        <f>VLOOKUP(G11, Table283781012[#All], 2, 0)</f>
        <v>#N/A</v>
      </c>
      <c r="AM11" s="56" t="e">
        <f>VLOOKUP(H11, Table283781012[#All], 2, 0)</f>
        <v>#N/A</v>
      </c>
      <c r="AN11" s="56" t="e">
        <f>VLOOKUP(I11, Table283781012[#All], 2, 0)</f>
        <v>#N/A</v>
      </c>
      <c r="AO11" s="56" t="e">
        <f>VLOOKUP(J11, Table283781012[#All], 2, 0)</f>
        <v>#N/A</v>
      </c>
      <c r="AP11" s="53"/>
      <c r="AQ11" s="54" t="e">
        <f>1/AP12</f>
        <v>#N/A</v>
      </c>
      <c r="AR11" s="54" t="e">
        <f>1/AP13</f>
        <v>#N/A</v>
      </c>
      <c r="AS11" s="54" t="e">
        <f>1/AP14</f>
        <v>#N/A</v>
      </c>
      <c r="AT11" s="54" t="e">
        <f>1/AP15</f>
        <v>#N/A</v>
      </c>
      <c r="AU11" s="54" t="e">
        <f t="shared" ref="AU11" si="2">1/AP16</f>
        <v>#N/A</v>
      </c>
      <c r="AV11" s="54" t="e">
        <f>1/AP17</f>
        <v>#N/A</v>
      </c>
      <c r="AW11" s="54" t="e">
        <f>1/AP18</f>
        <v>#N/A</v>
      </c>
      <c r="AX11" s="54" t="e">
        <f>1/AP19</f>
        <v>#N/A</v>
      </c>
      <c r="AY11" s="54" t="e">
        <f>1/AP20</f>
        <v>#N/A</v>
      </c>
      <c r="AZ11" s="54" t="e">
        <f>1/AP21</f>
        <v>#N/A</v>
      </c>
      <c r="BA11" s="54" t="e">
        <f>1/AP22</f>
        <v>#N/A</v>
      </c>
      <c r="BB11" s="54" t="e">
        <f>1/AP23</f>
        <v>#N/A</v>
      </c>
      <c r="BC11" s="54" t="e">
        <f>1/AP24</f>
        <v>#N/A</v>
      </c>
      <c r="BD11" s="54" t="e">
        <f>1/AP25</f>
        <v>#N/A</v>
      </c>
      <c r="BE11" s="54" t="e">
        <f>1/AP26</f>
        <v>#N/A</v>
      </c>
      <c r="BF11" s="54" t="e">
        <f>1/AP27</f>
        <v>#N/A</v>
      </c>
      <c r="BG11" s="54" t="e">
        <f>1/AP28</f>
        <v>#N/A</v>
      </c>
      <c r="BH11" s="54" t="e">
        <f>1/AP29</f>
        <v>#N/A</v>
      </c>
      <c r="BI11" s="55" t="e">
        <f t="shared" si="1"/>
        <v>#N/A</v>
      </c>
      <c r="BJ11" s="42"/>
      <c r="BK11" s="42"/>
      <c r="BL11" s="42"/>
      <c r="BM11" s="42"/>
      <c r="BN11" s="42"/>
      <c r="BO11" s="42"/>
      <c r="BP11" s="42"/>
      <c r="BQ11" s="42"/>
      <c r="BR11" s="42"/>
      <c r="BS11" s="42"/>
      <c r="BT11" s="42"/>
      <c r="BU11" s="42"/>
      <c r="BV11" s="42"/>
      <c r="BW11" s="42"/>
      <c r="BX11" s="42"/>
      <c r="BY11" s="42"/>
      <c r="BZ11" s="42"/>
    </row>
    <row r="12" spans="1:78" s="43" customFormat="1" ht="39.950000000000003" customHeight="1" thickBot="1">
      <c r="A12" s="42"/>
      <c r="B12" s="46"/>
      <c r="C12" s="61"/>
      <c r="D12" s="42"/>
      <c r="E12" s="38" t="s">
        <v>432</v>
      </c>
      <c r="F12" s="10"/>
      <c r="G12" s="8"/>
      <c r="H12" s="8"/>
      <c r="I12" s="8"/>
      <c r="J12" s="8"/>
      <c r="K12" s="8"/>
      <c r="L12" s="11"/>
      <c r="M12" s="11"/>
      <c r="N12" s="11"/>
      <c r="O12" s="11"/>
      <c r="P12" s="11"/>
      <c r="Q12" s="11"/>
      <c r="R12" s="11"/>
      <c r="S12" s="11"/>
      <c r="T12" s="11"/>
      <c r="U12" s="11"/>
      <c r="V12" s="11"/>
      <c r="W12" s="11"/>
      <c r="X12" s="11"/>
      <c r="Y12" s="11"/>
      <c r="Z12" s="11"/>
      <c r="AA12" s="11"/>
      <c r="AB12" s="11"/>
      <c r="AC12" s="11"/>
      <c r="AD12" s="8" t="e">
        <f t="shared" si="0"/>
        <v>#N/A</v>
      </c>
      <c r="AE12" s="52" t="e">
        <f>RANK(AD12,$AD6:$AD29,0)</f>
        <v>#N/A</v>
      </c>
      <c r="AF12" s="47"/>
      <c r="AG12" s="42"/>
      <c r="AH12" s="42"/>
      <c r="AI12" s="42"/>
      <c r="AJ12" s="42"/>
      <c r="AK12" s="56" t="e">
        <f>VLOOKUP(F12, Table283781012[#All], 2, 0)</f>
        <v>#N/A</v>
      </c>
      <c r="AL12" s="56" t="e">
        <f>VLOOKUP(G12, Table283781012[#All], 2, 0)</f>
        <v>#N/A</v>
      </c>
      <c r="AM12" s="56" t="e">
        <f>VLOOKUP(H12, Table283781012[#All], 2, 0)</f>
        <v>#N/A</v>
      </c>
      <c r="AN12" s="56" t="e">
        <f>VLOOKUP(I12, Table283781012[#All], 2, 0)</f>
        <v>#N/A</v>
      </c>
      <c r="AO12" s="56" t="e">
        <f>VLOOKUP(J12, Table283781012[#All], 2, 0)</f>
        <v>#N/A</v>
      </c>
      <c r="AP12" s="56" t="e">
        <f>VLOOKUP(K12, Table283781012[#All], 2, 0)</f>
        <v>#N/A</v>
      </c>
      <c r="AQ12" s="53"/>
      <c r="AR12" s="54" t="e">
        <f>1/AQ13</f>
        <v>#N/A</v>
      </c>
      <c r="AS12" s="54" t="e">
        <f>1/AQ14</f>
        <v>#N/A</v>
      </c>
      <c r="AT12" s="54" t="e">
        <f>1/AQ15</f>
        <v>#N/A</v>
      </c>
      <c r="AU12" s="54" t="e">
        <f>1/AQ16</f>
        <v>#N/A</v>
      </c>
      <c r="AV12" s="54" t="e">
        <f t="shared" ref="AV12" si="3">1/AQ17</f>
        <v>#N/A</v>
      </c>
      <c r="AW12" s="54" t="e">
        <f>1/AQ18</f>
        <v>#N/A</v>
      </c>
      <c r="AX12" s="54" t="e">
        <f>1/AQ19</f>
        <v>#N/A</v>
      </c>
      <c r="AY12" s="54" t="e">
        <f>1/AQ20</f>
        <v>#N/A</v>
      </c>
      <c r="AZ12" s="54" t="e">
        <f>1/AQ21</f>
        <v>#N/A</v>
      </c>
      <c r="BA12" s="54" t="e">
        <f>1/AQ22</f>
        <v>#N/A</v>
      </c>
      <c r="BB12" s="54" t="e">
        <f>1/AQ23</f>
        <v>#N/A</v>
      </c>
      <c r="BC12" s="54" t="e">
        <f>1/AQ24</f>
        <v>#N/A</v>
      </c>
      <c r="BD12" s="54" t="e">
        <f>1/AQ25</f>
        <v>#N/A</v>
      </c>
      <c r="BE12" s="54" t="e">
        <f>1/AQ26</f>
        <v>#N/A</v>
      </c>
      <c r="BF12" s="54" t="e">
        <f>1/AQ27</f>
        <v>#N/A</v>
      </c>
      <c r="BG12" s="54" t="e">
        <f>1/AQ28</f>
        <v>#N/A</v>
      </c>
      <c r="BH12" s="54" t="e">
        <f>1/AQ29</f>
        <v>#N/A</v>
      </c>
      <c r="BI12" s="55" t="e">
        <f t="shared" si="1"/>
        <v>#N/A</v>
      </c>
      <c r="BJ12" s="42"/>
      <c r="BK12" s="42"/>
      <c r="BL12" s="42"/>
      <c r="BM12" s="42"/>
      <c r="BN12" s="42"/>
      <c r="BO12" s="42"/>
      <c r="BP12" s="42"/>
      <c r="BQ12" s="42"/>
      <c r="BR12" s="42"/>
      <c r="BS12" s="42"/>
      <c r="BT12" s="42"/>
      <c r="BU12" s="42"/>
      <c r="BV12" s="42"/>
      <c r="BW12" s="42"/>
      <c r="BX12" s="42"/>
      <c r="BY12" s="42"/>
      <c r="BZ12" s="42"/>
    </row>
    <row r="13" spans="1:78" s="43" customFormat="1" ht="54.4" customHeight="1">
      <c r="A13" s="42"/>
      <c r="B13" s="46"/>
      <c r="C13" s="69"/>
      <c r="D13" s="42"/>
      <c r="E13" s="38" t="s">
        <v>431</v>
      </c>
      <c r="F13" s="10"/>
      <c r="G13" s="10"/>
      <c r="H13" s="10"/>
      <c r="I13" s="8"/>
      <c r="J13" s="8"/>
      <c r="K13" s="10"/>
      <c r="L13" s="10"/>
      <c r="M13" s="12"/>
      <c r="N13" s="12"/>
      <c r="O13" s="12"/>
      <c r="P13" s="12"/>
      <c r="Q13" s="12"/>
      <c r="R13" s="12"/>
      <c r="S13" s="12"/>
      <c r="T13" s="12"/>
      <c r="U13" s="12"/>
      <c r="V13" s="12"/>
      <c r="W13" s="12"/>
      <c r="X13" s="12"/>
      <c r="Y13" s="12"/>
      <c r="Z13" s="12"/>
      <c r="AA13" s="12"/>
      <c r="AB13" s="12"/>
      <c r="AC13" s="12"/>
      <c r="AD13" s="8" t="e">
        <f t="shared" si="0"/>
        <v>#N/A</v>
      </c>
      <c r="AE13" s="52" t="e">
        <f>RANK(AD13,$AD6:$AD29,0)</f>
        <v>#N/A</v>
      </c>
      <c r="AF13" s="47"/>
      <c r="AG13" s="42"/>
      <c r="AH13" s="42"/>
      <c r="AI13" s="42"/>
      <c r="AJ13" s="42"/>
      <c r="AK13" s="56" t="e">
        <f>VLOOKUP(F13, Table283781012[#All], 2, 0)</f>
        <v>#N/A</v>
      </c>
      <c r="AL13" s="56" t="e">
        <f>VLOOKUP(G13, Table283781012[#All], 2, 0)</f>
        <v>#N/A</v>
      </c>
      <c r="AM13" s="56" t="e">
        <f>VLOOKUP(H13, Table283781012[#All], 2, 0)</f>
        <v>#N/A</v>
      </c>
      <c r="AN13" s="56" t="e">
        <f>VLOOKUP(I13, Table283781012[#All], 2, 0)</f>
        <v>#N/A</v>
      </c>
      <c r="AO13" s="56" t="e">
        <f>VLOOKUP(J13, Table283781012[#All], 2, 0)</f>
        <v>#N/A</v>
      </c>
      <c r="AP13" s="56" t="e">
        <f>VLOOKUP(K13, Table283781012[#All], 2, 0)</f>
        <v>#N/A</v>
      </c>
      <c r="AQ13" s="56" t="e">
        <f>VLOOKUP(L13, Table283781012[#All], 2, 0)</f>
        <v>#N/A</v>
      </c>
      <c r="AR13" s="66"/>
      <c r="AS13" s="67" t="e">
        <f>1/AR14</f>
        <v>#N/A</v>
      </c>
      <c r="AT13" s="54" t="e">
        <f>1/AR15</f>
        <v>#N/A</v>
      </c>
      <c r="AU13" s="54" t="e">
        <f>1/AR16</f>
        <v>#N/A</v>
      </c>
      <c r="AV13" s="54" t="e">
        <f>1/AR17</f>
        <v>#N/A</v>
      </c>
      <c r="AW13" s="54" t="e">
        <f>1/AR18</f>
        <v>#N/A</v>
      </c>
      <c r="AX13" s="54" t="e">
        <f>1/AR19</f>
        <v>#N/A</v>
      </c>
      <c r="AY13" s="54" t="e">
        <f>1/AR20</f>
        <v>#N/A</v>
      </c>
      <c r="AZ13" s="54" t="e">
        <f>1/AR21</f>
        <v>#N/A</v>
      </c>
      <c r="BA13" s="54" t="e">
        <f>1/AR22</f>
        <v>#N/A</v>
      </c>
      <c r="BB13" s="54" t="e">
        <f>1/AR23</f>
        <v>#N/A</v>
      </c>
      <c r="BC13" s="54" t="e">
        <f>1/AR24</f>
        <v>#N/A</v>
      </c>
      <c r="BD13" s="54" t="e">
        <f>1/AR25</f>
        <v>#N/A</v>
      </c>
      <c r="BE13" s="54" t="e">
        <f>1/AR26</f>
        <v>#N/A</v>
      </c>
      <c r="BF13" s="54" t="e">
        <f>1/AR27</f>
        <v>#N/A</v>
      </c>
      <c r="BG13" s="54" t="e">
        <f>1/AR28</f>
        <v>#N/A</v>
      </c>
      <c r="BH13" s="54" t="e">
        <f>1/AR29</f>
        <v>#N/A</v>
      </c>
      <c r="BI13" s="55" t="e">
        <f t="shared" si="1"/>
        <v>#N/A</v>
      </c>
      <c r="BJ13" s="42"/>
      <c r="BK13" s="42"/>
      <c r="BL13" s="42"/>
      <c r="BM13" s="42"/>
      <c r="BN13" s="42"/>
      <c r="BO13" s="42"/>
      <c r="BP13" s="42"/>
      <c r="BQ13" s="42"/>
      <c r="BR13" s="42"/>
      <c r="BS13" s="42"/>
      <c r="BT13" s="42"/>
      <c r="BU13" s="42"/>
      <c r="BV13" s="42"/>
      <c r="BW13" s="42"/>
      <c r="BX13" s="42"/>
      <c r="BY13" s="42"/>
      <c r="BZ13" s="42"/>
    </row>
    <row r="14" spans="1:78" s="43" customFormat="1" ht="39.950000000000003" customHeight="1">
      <c r="A14" s="42"/>
      <c r="B14" s="46"/>
      <c r="C14" s="42"/>
      <c r="D14" s="42"/>
      <c r="E14" s="38" t="s">
        <v>430</v>
      </c>
      <c r="F14" s="8"/>
      <c r="G14" s="8"/>
      <c r="H14" s="10"/>
      <c r="I14" s="8"/>
      <c r="J14" s="8"/>
      <c r="K14" s="8"/>
      <c r="L14" s="10"/>
      <c r="M14" s="10"/>
      <c r="N14" s="12"/>
      <c r="O14" s="12"/>
      <c r="P14" s="12"/>
      <c r="Q14" s="12"/>
      <c r="R14" s="12"/>
      <c r="S14" s="12"/>
      <c r="T14" s="12"/>
      <c r="U14" s="12"/>
      <c r="V14" s="12"/>
      <c r="W14" s="12"/>
      <c r="X14" s="12"/>
      <c r="Y14" s="12"/>
      <c r="Z14" s="12"/>
      <c r="AA14" s="12"/>
      <c r="AB14" s="12"/>
      <c r="AC14" s="12"/>
      <c r="AD14" s="8" t="e">
        <f t="shared" si="0"/>
        <v>#N/A</v>
      </c>
      <c r="AE14" s="52" t="e">
        <f>RANK(AD14,$AD6:$AD29,0)</f>
        <v>#N/A</v>
      </c>
      <c r="AF14" s="47"/>
      <c r="AG14" s="42"/>
      <c r="AH14" s="42"/>
      <c r="AI14" s="42"/>
      <c r="AJ14" s="42"/>
      <c r="AK14" s="56" t="e">
        <f>VLOOKUP(F14, Table283781012[#All], 2, 0)</f>
        <v>#N/A</v>
      </c>
      <c r="AL14" s="56" t="e">
        <f>VLOOKUP(G14, Table283781012[#All], 2, 0)</f>
        <v>#N/A</v>
      </c>
      <c r="AM14" s="56" t="e">
        <f>VLOOKUP(H14, Table283781012[#All], 2, 0)</f>
        <v>#N/A</v>
      </c>
      <c r="AN14" s="56" t="e">
        <f>VLOOKUP(I14, Table283781012[#All], 2, 0)</f>
        <v>#N/A</v>
      </c>
      <c r="AO14" s="56" t="e">
        <f>VLOOKUP(J14, Table283781012[#All], 2, 0)</f>
        <v>#N/A</v>
      </c>
      <c r="AP14" s="56" t="e">
        <f>VLOOKUP(K14, Table283781012[#All], 2, 0)</f>
        <v>#N/A</v>
      </c>
      <c r="AQ14" s="56" t="e">
        <f>VLOOKUP(L14, Table283781012[#All], 2, 0)</f>
        <v>#N/A</v>
      </c>
      <c r="AR14" s="56" t="e">
        <f>VLOOKUP(M14, Table283781012[#All], 2, 0)</f>
        <v>#N/A</v>
      </c>
      <c r="AS14" s="66"/>
      <c r="AT14" s="54" t="e">
        <f>1/AS15</f>
        <v>#N/A</v>
      </c>
      <c r="AU14" s="54" t="e">
        <f>1/AS16</f>
        <v>#N/A</v>
      </c>
      <c r="AV14" s="54" t="e">
        <f>1/AS17</f>
        <v>#N/A</v>
      </c>
      <c r="AW14" s="54" t="e">
        <f>1/AS18</f>
        <v>#N/A</v>
      </c>
      <c r="AX14" s="54" t="e">
        <f>1/AS19</f>
        <v>#N/A</v>
      </c>
      <c r="AY14" s="54" t="e">
        <f>1/AS20</f>
        <v>#N/A</v>
      </c>
      <c r="AZ14" s="54" t="e">
        <f>1/AS21</f>
        <v>#N/A</v>
      </c>
      <c r="BA14" s="54" t="e">
        <f>1/AS22</f>
        <v>#N/A</v>
      </c>
      <c r="BB14" s="54" t="e">
        <f>1/AS23</f>
        <v>#N/A</v>
      </c>
      <c r="BC14" s="54" t="e">
        <f>1/AS24</f>
        <v>#N/A</v>
      </c>
      <c r="BD14" s="54" t="e">
        <f>1/AS25</f>
        <v>#N/A</v>
      </c>
      <c r="BE14" s="54" t="e">
        <f>1/AS26</f>
        <v>#N/A</v>
      </c>
      <c r="BF14" s="54" t="e">
        <f>1/AS27</f>
        <v>#N/A</v>
      </c>
      <c r="BG14" s="54" t="e">
        <f>1/AS28</f>
        <v>#N/A</v>
      </c>
      <c r="BH14" s="54" t="e">
        <f>1/AS29</f>
        <v>#N/A</v>
      </c>
      <c r="BI14" s="55" t="e">
        <f t="shared" si="1"/>
        <v>#N/A</v>
      </c>
      <c r="BJ14" s="42"/>
      <c r="BK14" s="42"/>
      <c r="BL14" s="42"/>
      <c r="BM14" s="42"/>
      <c r="BN14" s="42"/>
      <c r="BO14" s="42"/>
      <c r="BP14" s="42"/>
      <c r="BQ14" s="42"/>
      <c r="BR14" s="42"/>
      <c r="BS14" s="42"/>
      <c r="BT14" s="42"/>
      <c r="BU14" s="42"/>
      <c r="BV14" s="42"/>
      <c r="BW14" s="42"/>
      <c r="BX14" s="42"/>
      <c r="BY14" s="42"/>
      <c r="BZ14" s="42"/>
    </row>
    <row r="15" spans="1:78" s="43" customFormat="1" ht="57" customHeight="1">
      <c r="A15" s="42"/>
      <c r="B15" s="46"/>
      <c r="C15" s="42"/>
      <c r="D15" s="42"/>
      <c r="E15" s="38" t="s">
        <v>386</v>
      </c>
      <c r="F15" s="10"/>
      <c r="G15" s="10"/>
      <c r="H15" s="8"/>
      <c r="I15" s="10"/>
      <c r="J15" s="8"/>
      <c r="K15" s="10"/>
      <c r="L15" s="8"/>
      <c r="M15" s="10"/>
      <c r="N15" s="8"/>
      <c r="O15" s="12"/>
      <c r="P15" s="12"/>
      <c r="Q15" s="12"/>
      <c r="R15" s="12"/>
      <c r="S15" s="12"/>
      <c r="T15" s="12"/>
      <c r="U15" s="12"/>
      <c r="V15" s="12"/>
      <c r="W15" s="12"/>
      <c r="X15" s="12"/>
      <c r="Y15" s="12"/>
      <c r="Z15" s="12"/>
      <c r="AA15" s="12"/>
      <c r="AB15" s="12"/>
      <c r="AC15" s="12"/>
      <c r="AD15" s="8" t="e">
        <f t="shared" si="0"/>
        <v>#N/A</v>
      </c>
      <c r="AE15" s="52" t="e">
        <f>RANK(AD15,$AD6:$AD29,0)</f>
        <v>#N/A</v>
      </c>
      <c r="AF15" s="47"/>
      <c r="AG15" s="42"/>
      <c r="AH15" s="42"/>
      <c r="AI15" s="42"/>
      <c r="AJ15" s="42"/>
      <c r="AK15" s="56" t="e">
        <f>VLOOKUP(F15, Table283781012[#All], 2, 0)</f>
        <v>#N/A</v>
      </c>
      <c r="AL15" s="56" t="e">
        <f>VLOOKUP(G15, Table283781012[#All], 2, 0)</f>
        <v>#N/A</v>
      </c>
      <c r="AM15" s="56" t="e">
        <f>VLOOKUP(H15, Table283781012[#All], 2, 0)</f>
        <v>#N/A</v>
      </c>
      <c r="AN15" s="56" t="e">
        <f>VLOOKUP(I15, Table283781012[#All], 2, 0)</f>
        <v>#N/A</v>
      </c>
      <c r="AO15" s="56" t="e">
        <f>VLOOKUP(J15, Table283781012[#All], 2, 0)</f>
        <v>#N/A</v>
      </c>
      <c r="AP15" s="56" t="e">
        <f>VLOOKUP(K15, Table283781012[#All], 2, 0)</f>
        <v>#N/A</v>
      </c>
      <c r="AQ15" s="56" t="e">
        <f>VLOOKUP(L15, Table283781012[#All], 2, 0)</f>
        <v>#N/A</v>
      </c>
      <c r="AR15" s="56" t="e">
        <f>VLOOKUP(M15, Table283781012[#All], 2, 0)</f>
        <v>#N/A</v>
      </c>
      <c r="AS15" s="56" t="e">
        <f>VLOOKUP(N15, Table283781012[#All], 2, 0)</f>
        <v>#N/A</v>
      </c>
      <c r="AT15" s="58"/>
      <c r="AU15" s="54" t="e">
        <f>1/AT16</f>
        <v>#N/A</v>
      </c>
      <c r="AV15" s="54" t="e">
        <f>1/AT17</f>
        <v>#N/A</v>
      </c>
      <c r="AW15" s="54" t="e">
        <f>1/AT18</f>
        <v>#N/A</v>
      </c>
      <c r="AX15" s="54" t="e">
        <f>1/AT19</f>
        <v>#N/A</v>
      </c>
      <c r="AY15" s="54" t="e">
        <f>1/AT20</f>
        <v>#N/A</v>
      </c>
      <c r="AZ15" s="54" t="e">
        <f>1/AT21</f>
        <v>#N/A</v>
      </c>
      <c r="BA15" s="54" t="e">
        <f>1/AT22</f>
        <v>#N/A</v>
      </c>
      <c r="BB15" s="54" t="e">
        <f>1/AT23</f>
        <v>#N/A</v>
      </c>
      <c r="BC15" s="54" t="e">
        <f>1/AT24</f>
        <v>#N/A</v>
      </c>
      <c r="BD15" s="54" t="e">
        <f>1/AT25</f>
        <v>#N/A</v>
      </c>
      <c r="BE15" s="54" t="e">
        <f>1/AT26</f>
        <v>#N/A</v>
      </c>
      <c r="BF15" s="54" t="e">
        <f>1/AT27</f>
        <v>#N/A</v>
      </c>
      <c r="BG15" s="54" t="e">
        <f>1/AT28</f>
        <v>#N/A</v>
      </c>
      <c r="BH15" s="54" t="e">
        <f>1/AT29</f>
        <v>#N/A</v>
      </c>
      <c r="BI15" s="55" t="e">
        <f t="shared" si="1"/>
        <v>#N/A</v>
      </c>
      <c r="BJ15" s="42"/>
      <c r="BK15" s="42"/>
      <c r="BL15" s="42"/>
      <c r="BM15" s="42"/>
      <c r="BN15" s="42"/>
      <c r="BO15" s="42"/>
      <c r="BP15" s="42"/>
      <c r="BQ15" s="42"/>
      <c r="BR15" s="42"/>
      <c r="BS15" s="42"/>
      <c r="BT15" s="42"/>
      <c r="BU15" s="42"/>
      <c r="BV15" s="42"/>
      <c r="BW15" s="42"/>
      <c r="BX15" s="42"/>
      <c r="BY15" s="42"/>
      <c r="BZ15" s="42"/>
    </row>
    <row r="16" spans="1:78" s="43" customFormat="1" ht="39.950000000000003" customHeight="1">
      <c r="A16" s="42"/>
      <c r="B16" s="46"/>
      <c r="C16" s="42"/>
      <c r="D16" s="42"/>
      <c r="E16" s="38" t="s">
        <v>429</v>
      </c>
      <c r="F16" s="8"/>
      <c r="G16" s="10"/>
      <c r="H16" s="10"/>
      <c r="I16" s="8"/>
      <c r="J16" s="8"/>
      <c r="K16" s="8"/>
      <c r="L16" s="10"/>
      <c r="M16" s="8"/>
      <c r="N16" s="8"/>
      <c r="O16" s="8"/>
      <c r="P16" s="12"/>
      <c r="Q16" s="12"/>
      <c r="R16" s="12"/>
      <c r="S16" s="12"/>
      <c r="T16" s="12"/>
      <c r="U16" s="12"/>
      <c r="V16" s="12"/>
      <c r="W16" s="12"/>
      <c r="X16" s="12"/>
      <c r="Y16" s="12"/>
      <c r="Z16" s="12"/>
      <c r="AA16" s="12"/>
      <c r="AB16" s="12"/>
      <c r="AC16" s="12"/>
      <c r="AD16" s="8" t="e">
        <f t="shared" si="0"/>
        <v>#N/A</v>
      </c>
      <c r="AE16" s="52" t="e">
        <f>RANK(AD16,$AD6:$AD29,0)</f>
        <v>#N/A</v>
      </c>
      <c r="AF16" s="47"/>
      <c r="AG16" s="42"/>
      <c r="AH16" s="42"/>
      <c r="AI16" s="42"/>
      <c r="AJ16" s="42"/>
      <c r="AK16" s="56" t="e">
        <f>VLOOKUP(F16, Table283781012[#All], 2, 0)</f>
        <v>#N/A</v>
      </c>
      <c r="AL16" s="56" t="e">
        <f>VLOOKUP(G16, Table283781012[#All], 2, 0)</f>
        <v>#N/A</v>
      </c>
      <c r="AM16" s="56" t="e">
        <f>VLOOKUP(H16, Table283781012[#All], 2, 0)</f>
        <v>#N/A</v>
      </c>
      <c r="AN16" s="56" t="e">
        <f>VLOOKUP(I16, Table283781012[#All], 2, 0)</f>
        <v>#N/A</v>
      </c>
      <c r="AO16" s="56" t="e">
        <f>VLOOKUP(J16, Table283781012[#All], 2, 0)</f>
        <v>#N/A</v>
      </c>
      <c r="AP16" s="56" t="e">
        <f>VLOOKUP(K16, Table283781012[#All], 2, 0)</f>
        <v>#N/A</v>
      </c>
      <c r="AQ16" s="56" t="e">
        <f>VLOOKUP(L16, Table283781012[#All], 2, 0)</f>
        <v>#N/A</v>
      </c>
      <c r="AR16" s="56" t="e">
        <f>VLOOKUP(M16, Table283781012[#All], 2, 0)</f>
        <v>#N/A</v>
      </c>
      <c r="AS16" s="56" t="e">
        <f>VLOOKUP(N16, Table283781012[#All], 2, 0)</f>
        <v>#N/A</v>
      </c>
      <c r="AT16" s="56" t="e">
        <f>VLOOKUP(O16, Table283781012[#All], 2, 0)</f>
        <v>#N/A</v>
      </c>
      <c r="AU16" s="58"/>
      <c r="AV16" s="54" t="e">
        <f>1/AU17</f>
        <v>#N/A</v>
      </c>
      <c r="AW16" s="54" t="e">
        <f>1/AU18</f>
        <v>#N/A</v>
      </c>
      <c r="AX16" s="54" t="e">
        <f>1/AU19</f>
        <v>#N/A</v>
      </c>
      <c r="AY16" s="54" t="e">
        <f>1/AU20</f>
        <v>#N/A</v>
      </c>
      <c r="AZ16" s="54" t="e">
        <f>1/AU21</f>
        <v>#N/A</v>
      </c>
      <c r="BA16" s="54" t="e">
        <f>1/AU22</f>
        <v>#N/A</v>
      </c>
      <c r="BB16" s="54" t="e">
        <f>1/AU23</f>
        <v>#N/A</v>
      </c>
      <c r="BC16" s="54" t="e">
        <f>1/AU24</f>
        <v>#N/A</v>
      </c>
      <c r="BD16" s="54" t="e">
        <f>1/AU25</f>
        <v>#N/A</v>
      </c>
      <c r="BE16" s="54" t="e">
        <f>1/AU26</f>
        <v>#N/A</v>
      </c>
      <c r="BF16" s="54" t="e">
        <f>1/AU27</f>
        <v>#N/A</v>
      </c>
      <c r="BG16" s="54" t="e">
        <f>1/AU28</f>
        <v>#N/A</v>
      </c>
      <c r="BH16" s="54" t="e">
        <f>1/AU29</f>
        <v>#N/A</v>
      </c>
      <c r="BI16" s="55" t="e">
        <f t="shared" si="1"/>
        <v>#N/A</v>
      </c>
      <c r="BJ16" s="42"/>
      <c r="BK16" s="42"/>
      <c r="BL16" s="42"/>
      <c r="BM16" s="42"/>
      <c r="BN16" s="42"/>
      <c r="BO16" s="42"/>
      <c r="BP16" s="42"/>
      <c r="BQ16" s="42"/>
      <c r="BR16" s="42"/>
      <c r="BS16" s="42"/>
      <c r="BT16" s="42"/>
      <c r="BU16" s="42"/>
      <c r="BV16" s="42"/>
      <c r="BW16" s="42"/>
      <c r="BX16" s="42"/>
      <c r="BY16" s="42"/>
      <c r="BZ16" s="42"/>
    </row>
    <row r="17" spans="1:78" s="43" customFormat="1" ht="57" customHeight="1">
      <c r="A17" s="42"/>
      <c r="B17" s="46"/>
      <c r="C17" s="42"/>
      <c r="D17" s="42"/>
      <c r="E17" s="38" t="s">
        <v>428</v>
      </c>
      <c r="F17" s="8"/>
      <c r="G17" s="8"/>
      <c r="H17" s="8"/>
      <c r="I17" s="8"/>
      <c r="J17" s="8"/>
      <c r="K17" s="10"/>
      <c r="L17" s="10"/>
      <c r="M17" s="10"/>
      <c r="N17" s="10"/>
      <c r="O17" s="8"/>
      <c r="P17" s="8"/>
      <c r="Q17" s="9"/>
      <c r="R17" s="9"/>
      <c r="S17" s="9"/>
      <c r="T17" s="9"/>
      <c r="U17" s="12"/>
      <c r="V17" s="12"/>
      <c r="W17" s="12"/>
      <c r="X17" s="12"/>
      <c r="Y17" s="12"/>
      <c r="Z17" s="12"/>
      <c r="AA17" s="12"/>
      <c r="AB17" s="12"/>
      <c r="AC17" s="12"/>
      <c r="AD17" s="8" t="e">
        <f t="shared" si="0"/>
        <v>#N/A</v>
      </c>
      <c r="AE17" s="52" t="e">
        <f>RANK(AD17,$AD6:$AD29,0)</f>
        <v>#N/A</v>
      </c>
      <c r="AF17" s="47"/>
      <c r="AG17" s="42"/>
      <c r="AH17" s="42"/>
      <c r="AI17" s="42"/>
      <c r="AJ17" s="42"/>
      <c r="AK17" s="56" t="e">
        <f>VLOOKUP(F17, Table283781012[#All], 2, 0)</f>
        <v>#N/A</v>
      </c>
      <c r="AL17" s="56" t="e">
        <f>VLOOKUP(G17, Table283781012[#All], 2, 0)</f>
        <v>#N/A</v>
      </c>
      <c r="AM17" s="56" t="e">
        <f>VLOOKUP(H17, Table283781012[#All], 2, 0)</f>
        <v>#N/A</v>
      </c>
      <c r="AN17" s="56" t="e">
        <f>VLOOKUP(I17, Table283781012[#All], 2, 0)</f>
        <v>#N/A</v>
      </c>
      <c r="AO17" s="56" t="e">
        <f>VLOOKUP(J17, Table283781012[#All], 2, 0)</f>
        <v>#N/A</v>
      </c>
      <c r="AP17" s="56" t="e">
        <f>VLOOKUP(K17, Table283781012[#All], 2, 0)</f>
        <v>#N/A</v>
      </c>
      <c r="AQ17" s="56" t="e">
        <f>VLOOKUP(L17, Table283781012[#All], 2, 0)</f>
        <v>#N/A</v>
      </c>
      <c r="AR17" s="56" t="e">
        <f>VLOOKUP(M17, Table283781012[#All], 2, 0)</f>
        <v>#N/A</v>
      </c>
      <c r="AS17" s="56" t="e">
        <f>VLOOKUP(N17, Table283781012[#All], 2, 0)</f>
        <v>#N/A</v>
      </c>
      <c r="AT17" s="56" t="e">
        <f>VLOOKUP(O17, Table283781012[#All], 2, 0)</f>
        <v>#N/A</v>
      </c>
      <c r="AU17" s="56" t="e">
        <f>VLOOKUP(P17, Table283781012[#All], 2, 0)</f>
        <v>#N/A</v>
      </c>
      <c r="AV17" s="58"/>
      <c r="AW17" s="68" t="e">
        <f>1/AV18</f>
        <v>#N/A</v>
      </c>
      <c r="AX17" s="68" t="e">
        <f>1/AV19</f>
        <v>#N/A</v>
      </c>
      <c r="AY17" s="68" t="e">
        <f>1/AV20</f>
        <v>#N/A</v>
      </c>
      <c r="AZ17" s="68" t="e">
        <f>1/AV21</f>
        <v>#N/A</v>
      </c>
      <c r="BA17" s="68" t="e">
        <f>1/AV22</f>
        <v>#N/A</v>
      </c>
      <c r="BB17" s="68" t="e">
        <f>1/AV23</f>
        <v>#N/A</v>
      </c>
      <c r="BC17" s="68" t="e">
        <f>1/AV24</f>
        <v>#N/A</v>
      </c>
      <c r="BD17" s="68" t="e">
        <f>1/AV25</f>
        <v>#N/A</v>
      </c>
      <c r="BE17" s="68" t="e">
        <f>1/AV26</f>
        <v>#N/A</v>
      </c>
      <c r="BF17" s="68" t="e">
        <f>1/AV27</f>
        <v>#N/A</v>
      </c>
      <c r="BG17" s="68" t="e">
        <f>1/AV28</f>
        <v>#N/A</v>
      </c>
      <c r="BH17" s="68" t="e">
        <f>1/AV29</f>
        <v>#N/A</v>
      </c>
      <c r="BI17" s="55" t="e">
        <f t="shared" si="1"/>
        <v>#N/A</v>
      </c>
      <c r="BJ17" s="42"/>
      <c r="BK17" s="42"/>
      <c r="BL17" s="42"/>
      <c r="BM17" s="42"/>
      <c r="BN17" s="42"/>
      <c r="BO17" s="42"/>
      <c r="BP17" s="42"/>
      <c r="BQ17" s="42"/>
      <c r="BR17" s="42"/>
      <c r="BS17" s="42"/>
      <c r="BT17" s="42"/>
      <c r="BU17" s="42"/>
      <c r="BV17" s="42"/>
      <c r="BW17" s="42"/>
      <c r="BX17" s="42"/>
      <c r="BY17" s="42"/>
      <c r="BZ17" s="42"/>
    </row>
    <row r="18" spans="1:78" s="43" customFormat="1" ht="49.35" customHeight="1">
      <c r="A18" s="42"/>
      <c r="B18" s="46"/>
      <c r="C18" s="42"/>
      <c r="D18" s="42"/>
      <c r="E18" s="38" t="s">
        <v>427</v>
      </c>
      <c r="F18" s="26"/>
      <c r="G18" s="26"/>
      <c r="H18" s="26"/>
      <c r="I18" s="26"/>
      <c r="J18" s="26"/>
      <c r="K18" s="26"/>
      <c r="L18" s="26"/>
      <c r="M18" s="26"/>
      <c r="N18" s="26"/>
      <c r="O18" s="26"/>
      <c r="P18" s="26"/>
      <c r="Q18" s="26"/>
      <c r="R18" s="12"/>
      <c r="S18" s="12"/>
      <c r="T18" s="12"/>
      <c r="U18" s="12"/>
      <c r="V18" s="12"/>
      <c r="W18" s="12"/>
      <c r="X18" s="12"/>
      <c r="Y18" s="12"/>
      <c r="Z18" s="12"/>
      <c r="AA18" s="12"/>
      <c r="AB18" s="12"/>
      <c r="AC18" s="12"/>
      <c r="AD18" s="8" t="e">
        <f t="shared" si="0"/>
        <v>#N/A</v>
      </c>
      <c r="AE18" s="52" t="e">
        <f>RANK(AD18,$AD6:$AD29,0)</f>
        <v>#N/A</v>
      </c>
      <c r="AF18" s="47"/>
      <c r="AG18" s="42"/>
      <c r="AH18" s="42"/>
      <c r="AI18" s="42"/>
      <c r="AJ18" s="42"/>
      <c r="AK18" s="56" t="e">
        <f>VLOOKUP(F18, Table283781012[#All], 2, 0)</f>
        <v>#N/A</v>
      </c>
      <c r="AL18" s="56" t="e">
        <f>VLOOKUP(G18, Table283781012[#All], 2, 0)</f>
        <v>#N/A</v>
      </c>
      <c r="AM18" s="56" t="e">
        <f>VLOOKUP(H18, Table283781012[#All], 2, 0)</f>
        <v>#N/A</v>
      </c>
      <c r="AN18" s="56" t="e">
        <f>VLOOKUP(I18, Table283781012[#All], 2, 0)</f>
        <v>#N/A</v>
      </c>
      <c r="AO18" s="56" t="e">
        <f>VLOOKUP(J18, Table283781012[#All], 2, 0)</f>
        <v>#N/A</v>
      </c>
      <c r="AP18" s="56" t="e">
        <f>VLOOKUP(K18, Table283781012[#All], 2, 0)</f>
        <v>#N/A</v>
      </c>
      <c r="AQ18" s="56" t="e">
        <f>VLOOKUP(L18, Table283781012[#All], 2, 0)</f>
        <v>#N/A</v>
      </c>
      <c r="AR18" s="56" t="e">
        <f>VLOOKUP(M18, Table283781012[#All], 2, 0)</f>
        <v>#N/A</v>
      </c>
      <c r="AS18" s="56" t="e">
        <f>VLOOKUP(N18, Table283781012[#All], 2, 0)</f>
        <v>#N/A</v>
      </c>
      <c r="AT18" s="56" t="e">
        <f>VLOOKUP(O18, Table283781012[#All], 2, 0)</f>
        <v>#N/A</v>
      </c>
      <c r="AU18" s="56" t="e">
        <f>VLOOKUP(P18, Table283781012[#All], 2, 0)</f>
        <v>#N/A</v>
      </c>
      <c r="AV18" s="56" t="e">
        <f>VLOOKUP(Q18, Table283781012[#All], 2, 0)</f>
        <v>#N/A</v>
      </c>
      <c r="AW18" s="58"/>
      <c r="AX18" s="68" t="e">
        <f>1/AW19</f>
        <v>#N/A</v>
      </c>
      <c r="AY18" s="68" t="e">
        <f>1/AW20</f>
        <v>#N/A</v>
      </c>
      <c r="AZ18" s="68" t="e">
        <f>1/AW21</f>
        <v>#N/A</v>
      </c>
      <c r="BA18" s="68" t="e">
        <f>1/AW22</f>
        <v>#N/A</v>
      </c>
      <c r="BB18" s="68" t="e">
        <f>1/AW23</f>
        <v>#N/A</v>
      </c>
      <c r="BC18" s="68" t="e">
        <f>1/AW24</f>
        <v>#N/A</v>
      </c>
      <c r="BD18" s="68" t="e">
        <f>1/AW25</f>
        <v>#N/A</v>
      </c>
      <c r="BE18" s="68" t="e">
        <f>1/AW26</f>
        <v>#N/A</v>
      </c>
      <c r="BF18" s="68" t="e">
        <f>1/AW27</f>
        <v>#N/A</v>
      </c>
      <c r="BG18" s="68" t="e">
        <f>1/AW28</f>
        <v>#N/A</v>
      </c>
      <c r="BH18" s="68" t="e">
        <f>1/AW29</f>
        <v>#N/A</v>
      </c>
      <c r="BI18" s="55" t="e">
        <f t="shared" si="1"/>
        <v>#N/A</v>
      </c>
      <c r="BJ18" s="42"/>
      <c r="BK18" s="42"/>
      <c r="BL18" s="42"/>
      <c r="BM18" s="42"/>
      <c r="BN18" s="42"/>
      <c r="BO18" s="42"/>
      <c r="BP18" s="42"/>
      <c r="BQ18" s="42"/>
      <c r="BR18" s="42"/>
      <c r="BS18" s="42"/>
      <c r="BT18" s="42"/>
      <c r="BU18" s="42"/>
      <c r="BV18" s="42"/>
      <c r="BW18" s="42"/>
      <c r="BX18" s="42"/>
      <c r="BY18" s="42"/>
      <c r="BZ18" s="42"/>
    </row>
    <row r="19" spans="1:78" s="43" customFormat="1" ht="46.9" customHeight="1">
      <c r="A19" s="42"/>
      <c r="B19" s="46"/>
      <c r="C19" s="42"/>
      <c r="D19" s="42"/>
      <c r="E19" s="38" t="s">
        <v>388</v>
      </c>
      <c r="F19" s="26"/>
      <c r="G19" s="26"/>
      <c r="H19" s="26"/>
      <c r="I19" s="26"/>
      <c r="J19" s="26"/>
      <c r="K19" s="26"/>
      <c r="L19" s="26"/>
      <c r="M19" s="26"/>
      <c r="N19" s="26"/>
      <c r="O19" s="26"/>
      <c r="P19" s="26"/>
      <c r="Q19" s="26"/>
      <c r="R19" s="26"/>
      <c r="S19" s="12"/>
      <c r="T19" s="12"/>
      <c r="U19" s="12"/>
      <c r="V19" s="12"/>
      <c r="W19" s="12"/>
      <c r="X19" s="12"/>
      <c r="Y19" s="12"/>
      <c r="Z19" s="12"/>
      <c r="AA19" s="12"/>
      <c r="AB19" s="12"/>
      <c r="AC19" s="12"/>
      <c r="AD19" s="8" t="e">
        <f t="shared" si="0"/>
        <v>#N/A</v>
      </c>
      <c r="AE19" s="52" t="e">
        <f>RANK(AD19,$AD6:$AD29,0)</f>
        <v>#N/A</v>
      </c>
      <c r="AF19" s="47"/>
      <c r="AG19" s="42"/>
      <c r="AH19" s="42"/>
      <c r="AI19" s="42"/>
      <c r="AJ19" s="42"/>
      <c r="AK19" s="56" t="e">
        <f>VLOOKUP(F19, Table283781012[#All], 2, 0)</f>
        <v>#N/A</v>
      </c>
      <c r="AL19" s="56" t="e">
        <f>VLOOKUP(G19, Table283781012[#All], 2, 0)</f>
        <v>#N/A</v>
      </c>
      <c r="AM19" s="56" t="e">
        <f>VLOOKUP(H19, Table283781012[#All], 2, 0)</f>
        <v>#N/A</v>
      </c>
      <c r="AN19" s="56" t="e">
        <f>VLOOKUP(I19, Table283781012[#All], 2, 0)</f>
        <v>#N/A</v>
      </c>
      <c r="AO19" s="56" t="e">
        <f>VLOOKUP(J19, Table283781012[#All], 2, 0)</f>
        <v>#N/A</v>
      </c>
      <c r="AP19" s="56" t="e">
        <f>VLOOKUP(K19, Table283781012[#All], 2, 0)</f>
        <v>#N/A</v>
      </c>
      <c r="AQ19" s="56" t="e">
        <f>VLOOKUP(L19, Table283781012[#All], 2, 0)</f>
        <v>#N/A</v>
      </c>
      <c r="AR19" s="56" t="e">
        <f>VLOOKUP(M19, Table283781012[#All], 2, 0)</f>
        <v>#N/A</v>
      </c>
      <c r="AS19" s="56" t="e">
        <f>VLOOKUP(N19, Table283781012[#All], 2, 0)</f>
        <v>#N/A</v>
      </c>
      <c r="AT19" s="56" t="e">
        <f>VLOOKUP(O19, Table283781012[#All], 2, 0)</f>
        <v>#N/A</v>
      </c>
      <c r="AU19" s="56" t="e">
        <f>VLOOKUP(P19, Table283781012[#All], 2, 0)</f>
        <v>#N/A</v>
      </c>
      <c r="AV19" s="56" t="e">
        <f>VLOOKUP(Q19, Table283781012[#All], 2, 0)</f>
        <v>#N/A</v>
      </c>
      <c r="AW19" s="56" t="e">
        <f>VLOOKUP(R19, Table283781012[#All], 2, 0)</f>
        <v>#N/A</v>
      </c>
      <c r="AX19" s="58"/>
      <c r="AY19" s="68" t="e">
        <f>1/AX20</f>
        <v>#N/A</v>
      </c>
      <c r="AZ19" s="68" t="e">
        <f>1/AX21</f>
        <v>#N/A</v>
      </c>
      <c r="BA19" s="68" t="e">
        <f>1/AX22</f>
        <v>#N/A</v>
      </c>
      <c r="BB19" s="68" t="e">
        <f>1/AX23</f>
        <v>#N/A</v>
      </c>
      <c r="BC19" s="68" t="e">
        <f>1/AX24</f>
        <v>#N/A</v>
      </c>
      <c r="BD19" s="68" t="e">
        <f>1/AX25</f>
        <v>#N/A</v>
      </c>
      <c r="BE19" s="68" t="e">
        <f>1/AX26</f>
        <v>#N/A</v>
      </c>
      <c r="BF19" s="68" t="e">
        <f>1/AX27</f>
        <v>#N/A</v>
      </c>
      <c r="BG19" s="68" t="e">
        <f>1/AX28</f>
        <v>#N/A</v>
      </c>
      <c r="BH19" s="68" t="e">
        <f>1/AX29</f>
        <v>#N/A</v>
      </c>
      <c r="BI19" s="55" t="e">
        <f t="shared" si="1"/>
        <v>#N/A</v>
      </c>
      <c r="BJ19" s="42"/>
      <c r="BK19" s="42"/>
      <c r="BL19" s="42"/>
      <c r="BM19" s="42"/>
      <c r="BN19" s="42"/>
      <c r="BO19" s="42"/>
      <c r="BP19" s="42"/>
      <c r="BQ19" s="42"/>
      <c r="BR19" s="42"/>
      <c r="BS19" s="42"/>
      <c r="BT19" s="42"/>
      <c r="BU19" s="42"/>
      <c r="BV19" s="42"/>
      <c r="BW19" s="42"/>
      <c r="BX19" s="42"/>
      <c r="BY19" s="42"/>
      <c r="BZ19" s="42"/>
    </row>
    <row r="20" spans="1:78" s="43" customFormat="1" ht="69.400000000000006" customHeight="1">
      <c r="A20" s="42"/>
      <c r="B20" s="46"/>
      <c r="C20" s="42"/>
      <c r="D20" s="42"/>
      <c r="E20" s="38" t="s">
        <v>426</v>
      </c>
      <c r="F20" s="26"/>
      <c r="G20" s="26"/>
      <c r="H20" s="26"/>
      <c r="I20" s="26"/>
      <c r="J20" s="26"/>
      <c r="K20" s="26"/>
      <c r="L20" s="26"/>
      <c r="M20" s="26"/>
      <c r="N20" s="26"/>
      <c r="O20" s="26"/>
      <c r="P20" s="26"/>
      <c r="Q20" s="26"/>
      <c r="R20" s="26"/>
      <c r="S20" s="26"/>
      <c r="T20" s="12"/>
      <c r="U20" s="12"/>
      <c r="V20" s="12"/>
      <c r="W20" s="12"/>
      <c r="X20" s="12"/>
      <c r="Y20" s="12"/>
      <c r="Z20" s="12"/>
      <c r="AA20" s="12"/>
      <c r="AB20" s="12"/>
      <c r="AC20" s="12"/>
      <c r="AD20" s="8" t="e">
        <f t="shared" si="0"/>
        <v>#N/A</v>
      </c>
      <c r="AE20" s="52" t="e">
        <f>RANK(AD20,$AD6:$AD29,0)</f>
        <v>#N/A</v>
      </c>
      <c r="AF20" s="47"/>
      <c r="AG20" s="42"/>
      <c r="AH20" s="42"/>
      <c r="AI20" s="42"/>
      <c r="AJ20" s="42"/>
      <c r="AK20" s="56" t="e">
        <f>VLOOKUP(F20, Table283781012[#All], 2, 0)</f>
        <v>#N/A</v>
      </c>
      <c r="AL20" s="56" t="e">
        <f>VLOOKUP(G20, Table283781012[#All], 2, 0)</f>
        <v>#N/A</v>
      </c>
      <c r="AM20" s="56" t="e">
        <f>VLOOKUP(H20, Table283781012[#All], 2, 0)</f>
        <v>#N/A</v>
      </c>
      <c r="AN20" s="56" t="e">
        <f>VLOOKUP(I20, Table283781012[#All], 2, 0)</f>
        <v>#N/A</v>
      </c>
      <c r="AO20" s="56" t="e">
        <f>VLOOKUP(J20, Table283781012[#All], 2, 0)</f>
        <v>#N/A</v>
      </c>
      <c r="AP20" s="56" t="e">
        <f>VLOOKUP(K20, Table283781012[#All], 2, 0)</f>
        <v>#N/A</v>
      </c>
      <c r="AQ20" s="56" t="e">
        <f>VLOOKUP(L20, Table283781012[#All], 2, 0)</f>
        <v>#N/A</v>
      </c>
      <c r="AR20" s="56" t="e">
        <f>VLOOKUP(M20, Table283781012[#All], 2, 0)</f>
        <v>#N/A</v>
      </c>
      <c r="AS20" s="56" t="e">
        <f>VLOOKUP(N20, Table283781012[#All], 2, 0)</f>
        <v>#N/A</v>
      </c>
      <c r="AT20" s="56" t="e">
        <f>VLOOKUP(O20, Table283781012[#All], 2, 0)</f>
        <v>#N/A</v>
      </c>
      <c r="AU20" s="56" t="e">
        <f>VLOOKUP(P20, Table283781012[#All], 2, 0)</f>
        <v>#N/A</v>
      </c>
      <c r="AV20" s="56" t="e">
        <f>VLOOKUP(Q20, Table283781012[#All], 2, 0)</f>
        <v>#N/A</v>
      </c>
      <c r="AW20" s="56" t="e">
        <f>VLOOKUP(R20, Table283781012[#All], 2, 0)</f>
        <v>#N/A</v>
      </c>
      <c r="AX20" s="56" t="e">
        <f>VLOOKUP(S20, Table283781012[#All], 2, 0)</f>
        <v>#N/A</v>
      </c>
      <c r="AY20" s="58"/>
      <c r="AZ20" s="68" t="e">
        <f>1/AY21</f>
        <v>#N/A</v>
      </c>
      <c r="BA20" s="68" t="e">
        <f>1/AY22</f>
        <v>#N/A</v>
      </c>
      <c r="BB20" s="68" t="e">
        <f>1/AY23</f>
        <v>#N/A</v>
      </c>
      <c r="BC20" s="68" t="e">
        <f>1/AY24</f>
        <v>#N/A</v>
      </c>
      <c r="BD20" s="68" t="e">
        <f>1/AY25</f>
        <v>#N/A</v>
      </c>
      <c r="BE20" s="68" t="e">
        <f>1/AY26</f>
        <v>#N/A</v>
      </c>
      <c r="BF20" s="68" t="e">
        <f>1/AY27</f>
        <v>#N/A</v>
      </c>
      <c r="BG20" s="68" t="e">
        <f>1/AY28</f>
        <v>#N/A</v>
      </c>
      <c r="BH20" s="68" t="e">
        <f>1/AY29</f>
        <v>#N/A</v>
      </c>
      <c r="BI20" s="55" t="e">
        <f t="shared" si="1"/>
        <v>#N/A</v>
      </c>
      <c r="BJ20" s="42"/>
      <c r="BK20" s="42"/>
      <c r="BL20" s="42"/>
      <c r="BM20" s="42"/>
      <c r="BN20" s="42"/>
      <c r="BO20" s="42"/>
      <c r="BP20" s="42"/>
      <c r="BQ20" s="42"/>
      <c r="BR20" s="42"/>
      <c r="BS20" s="42"/>
      <c r="BT20" s="42"/>
      <c r="BU20" s="42"/>
      <c r="BV20" s="42"/>
      <c r="BW20" s="42"/>
      <c r="BX20" s="42"/>
      <c r="BY20" s="42"/>
      <c r="BZ20" s="42"/>
    </row>
    <row r="21" spans="1:78" s="43" customFormat="1" ht="56.45" customHeight="1">
      <c r="A21" s="42"/>
      <c r="B21" s="46"/>
      <c r="C21" s="42"/>
      <c r="D21" s="42"/>
      <c r="E21" s="38" t="s">
        <v>425</v>
      </c>
      <c r="F21" s="26"/>
      <c r="G21" s="26"/>
      <c r="H21" s="26"/>
      <c r="I21" s="26"/>
      <c r="J21" s="26"/>
      <c r="K21" s="26"/>
      <c r="L21" s="26"/>
      <c r="M21" s="26"/>
      <c r="N21" s="26"/>
      <c r="O21" s="26"/>
      <c r="P21" s="26"/>
      <c r="Q21" s="26"/>
      <c r="R21" s="26"/>
      <c r="S21" s="26"/>
      <c r="T21" s="26"/>
      <c r="U21" s="12"/>
      <c r="V21" s="12"/>
      <c r="W21" s="12"/>
      <c r="X21" s="12"/>
      <c r="Y21" s="12"/>
      <c r="Z21" s="12"/>
      <c r="AA21" s="12"/>
      <c r="AB21" s="12"/>
      <c r="AC21" s="12"/>
      <c r="AD21" s="8" t="e">
        <f t="shared" si="0"/>
        <v>#N/A</v>
      </c>
      <c r="AE21" s="52" t="e">
        <f t="shared" ref="AE21" si="4">RANK(AD21,$AD9:$AD28,0)</f>
        <v>#N/A</v>
      </c>
      <c r="AF21" s="47"/>
      <c r="AG21" s="42"/>
      <c r="AH21" s="42"/>
      <c r="AI21" s="42"/>
      <c r="AJ21" s="42"/>
      <c r="AK21" s="56" t="e">
        <f>VLOOKUP(F21, Table283781012[#All], 2, 0)</f>
        <v>#N/A</v>
      </c>
      <c r="AL21" s="56" t="e">
        <f>VLOOKUP(G21, Table283781012[#All], 2, 0)</f>
        <v>#N/A</v>
      </c>
      <c r="AM21" s="56" t="e">
        <f>VLOOKUP(H21, Table283781012[#All], 2, 0)</f>
        <v>#N/A</v>
      </c>
      <c r="AN21" s="56" t="e">
        <f>VLOOKUP(I21, Table283781012[#All], 2, 0)</f>
        <v>#N/A</v>
      </c>
      <c r="AO21" s="56" t="e">
        <f>VLOOKUP(J21, Table283781012[#All], 2, 0)</f>
        <v>#N/A</v>
      </c>
      <c r="AP21" s="56" t="e">
        <f>VLOOKUP(K21, Table283781012[#All], 2, 0)</f>
        <v>#N/A</v>
      </c>
      <c r="AQ21" s="56" t="e">
        <f>VLOOKUP(L21, Table283781012[#All], 2, 0)</f>
        <v>#N/A</v>
      </c>
      <c r="AR21" s="56" t="e">
        <f>VLOOKUP(M21, Table283781012[#All], 2, 0)</f>
        <v>#N/A</v>
      </c>
      <c r="AS21" s="56" t="e">
        <f>VLOOKUP(N21, Table283781012[#All], 2, 0)</f>
        <v>#N/A</v>
      </c>
      <c r="AT21" s="56" t="e">
        <f>VLOOKUP(O21, Table283781012[#All], 2, 0)</f>
        <v>#N/A</v>
      </c>
      <c r="AU21" s="56" t="e">
        <f>VLOOKUP(P21, Table283781012[#All], 2, 0)</f>
        <v>#N/A</v>
      </c>
      <c r="AV21" s="56" t="e">
        <f>VLOOKUP(Q21, Table283781012[#All], 2, 0)</f>
        <v>#N/A</v>
      </c>
      <c r="AW21" s="56" t="e">
        <f>VLOOKUP(R21, Table283781012[#All], 2, 0)</f>
        <v>#N/A</v>
      </c>
      <c r="AX21" s="56" t="e">
        <f>VLOOKUP(S21, Table283781012[#All], 2, 0)</f>
        <v>#N/A</v>
      </c>
      <c r="AY21" s="56" t="e">
        <f>VLOOKUP(T21, Table283781012[#All], 2, 0)</f>
        <v>#N/A</v>
      </c>
      <c r="AZ21" s="58"/>
      <c r="BA21" s="68" t="e">
        <f>1/AZ22</f>
        <v>#N/A</v>
      </c>
      <c r="BB21" s="68" t="e">
        <f>1/AZ23</f>
        <v>#N/A</v>
      </c>
      <c r="BC21" s="68" t="e">
        <f>1/AZ24</f>
        <v>#N/A</v>
      </c>
      <c r="BD21" s="68" t="e">
        <f>1/AZ25</f>
        <v>#N/A</v>
      </c>
      <c r="BE21" s="68" t="e">
        <f>1/AZ26</f>
        <v>#N/A</v>
      </c>
      <c r="BF21" s="68" t="e">
        <f>1/AZ27</f>
        <v>#N/A</v>
      </c>
      <c r="BG21" s="68" t="e">
        <f>1/AZ28</f>
        <v>#N/A</v>
      </c>
      <c r="BH21" s="68" t="e">
        <f>1/AZ29</f>
        <v>#N/A</v>
      </c>
      <c r="BI21" s="55" t="e">
        <f t="shared" si="1"/>
        <v>#N/A</v>
      </c>
      <c r="BJ21" s="42"/>
      <c r="BK21" s="42"/>
      <c r="BL21" s="42"/>
      <c r="BM21" s="42"/>
      <c r="BN21" s="42"/>
      <c r="BO21" s="42"/>
      <c r="BP21" s="42"/>
      <c r="BQ21" s="42"/>
      <c r="BR21" s="42"/>
      <c r="BS21" s="42"/>
      <c r="BT21" s="42"/>
      <c r="BU21" s="42"/>
      <c r="BV21" s="42"/>
      <c r="BW21" s="42"/>
      <c r="BX21" s="42"/>
      <c r="BY21" s="42"/>
      <c r="BZ21" s="42"/>
    </row>
    <row r="22" spans="1:78" s="43" customFormat="1" ht="55.5" customHeight="1">
      <c r="A22" s="42"/>
      <c r="B22" s="46"/>
      <c r="C22" s="42"/>
      <c r="D22" s="42"/>
      <c r="E22" s="38" t="s">
        <v>389</v>
      </c>
      <c r="F22" s="26"/>
      <c r="G22" s="26"/>
      <c r="H22" s="26"/>
      <c r="I22" s="26"/>
      <c r="J22" s="26"/>
      <c r="K22" s="26"/>
      <c r="L22" s="26"/>
      <c r="M22" s="26"/>
      <c r="N22" s="26"/>
      <c r="O22" s="26"/>
      <c r="P22" s="26"/>
      <c r="Q22" s="26"/>
      <c r="R22" s="26"/>
      <c r="S22" s="26"/>
      <c r="T22" s="26"/>
      <c r="U22" s="26"/>
      <c r="V22" s="12"/>
      <c r="W22" s="12"/>
      <c r="X22" s="12"/>
      <c r="Y22" s="12"/>
      <c r="Z22" s="12"/>
      <c r="AA22" s="12"/>
      <c r="AB22" s="12"/>
      <c r="AC22" s="12"/>
      <c r="AD22" s="8" t="e">
        <f t="shared" si="0"/>
        <v>#N/A</v>
      </c>
      <c r="AE22" s="52" t="e">
        <f>RANK(AD22,$AD6:$AD29,0)</f>
        <v>#N/A</v>
      </c>
      <c r="AF22" s="47"/>
      <c r="AG22" s="42"/>
      <c r="AH22" s="42"/>
      <c r="AI22" s="42"/>
      <c r="AJ22" s="42"/>
      <c r="AK22" s="56" t="e">
        <f>VLOOKUP(F22, Table283781012[#All], 2, 0)</f>
        <v>#N/A</v>
      </c>
      <c r="AL22" s="56" t="e">
        <f>VLOOKUP(G22, Table283781012[#All], 2, 0)</f>
        <v>#N/A</v>
      </c>
      <c r="AM22" s="56" t="e">
        <f>VLOOKUP(H22, Table283781012[#All], 2, 0)</f>
        <v>#N/A</v>
      </c>
      <c r="AN22" s="56" t="e">
        <f>VLOOKUP(I22, Table283781012[#All], 2, 0)</f>
        <v>#N/A</v>
      </c>
      <c r="AO22" s="56" t="e">
        <f>VLOOKUP(J22, Table283781012[#All], 2, 0)</f>
        <v>#N/A</v>
      </c>
      <c r="AP22" s="56" t="e">
        <f>VLOOKUP(K22, Table283781012[#All], 2, 0)</f>
        <v>#N/A</v>
      </c>
      <c r="AQ22" s="56" t="e">
        <f>VLOOKUP(L22, Table283781012[#All], 2, 0)</f>
        <v>#N/A</v>
      </c>
      <c r="AR22" s="56" t="e">
        <f>VLOOKUP(M22, Table283781012[#All], 2, 0)</f>
        <v>#N/A</v>
      </c>
      <c r="AS22" s="56" t="e">
        <f>VLOOKUP(N22, Table283781012[#All], 2, 0)</f>
        <v>#N/A</v>
      </c>
      <c r="AT22" s="56" t="e">
        <f>VLOOKUP(O22, Table283781012[#All], 2, 0)</f>
        <v>#N/A</v>
      </c>
      <c r="AU22" s="56" t="e">
        <f>VLOOKUP(P22, Table283781012[#All], 2, 0)</f>
        <v>#N/A</v>
      </c>
      <c r="AV22" s="56" t="e">
        <f>VLOOKUP(Q22, Table283781012[#All], 2, 0)</f>
        <v>#N/A</v>
      </c>
      <c r="AW22" s="56" t="e">
        <f>VLOOKUP(R22, Table283781012[#All], 2, 0)</f>
        <v>#N/A</v>
      </c>
      <c r="AX22" s="56" t="e">
        <f>VLOOKUP(S22, Table283781012[#All], 2, 0)</f>
        <v>#N/A</v>
      </c>
      <c r="AY22" s="56" t="e">
        <f>VLOOKUP(T22, Table283781012[#All], 2, 0)</f>
        <v>#N/A</v>
      </c>
      <c r="AZ22" s="56" t="e">
        <f>VLOOKUP(U22, Table283781012[#All], 2, 0)</f>
        <v>#N/A</v>
      </c>
      <c r="BA22" s="58"/>
      <c r="BB22" s="68" t="e">
        <f>1/BA23</f>
        <v>#N/A</v>
      </c>
      <c r="BC22" s="68" t="e">
        <f>1/BA24</f>
        <v>#N/A</v>
      </c>
      <c r="BD22" s="68" t="e">
        <f>1/BA25</f>
        <v>#N/A</v>
      </c>
      <c r="BE22" s="68" t="e">
        <f>1/BA26</f>
        <v>#N/A</v>
      </c>
      <c r="BF22" s="68" t="e">
        <f>1/BA27</f>
        <v>#N/A</v>
      </c>
      <c r="BG22" s="68" t="e">
        <f>1/BA28</f>
        <v>#N/A</v>
      </c>
      <c r="BH22" s="68" t="e">
        <f>1/BA29</f>
        <v>#N/A</v>
      </c>
      <c r="BI22" s="55" t="e">
        <f t="shared" si="1"/>
        <v>#N/A</v>
      </c>
      <c r="BJ22" s="42"/>
      <c r="BK22" s="42"/>
      <c r="BL22" s="42"/>
      <c r="BM22" s="42"/>
      <c r="BN22" s="42"/>
      <c r="BO22" s="42"/>
      <c r="BP22" s="42"/>
      <c r="BQ22" s="42"/>
      <c r="BR22" s="42"/>
      <c r="BS22" s="42"/>
      <c r="BT22" s="42"/>
      <c r="BU22" s="42"/>
      <c r="BV22" s="42"/>
      <c r="BW22" s="42"/>
      <c r="BX22" s="42"/>
      <c r="BY22" s="42"/>
      <c r="BZ22" s="42"/>
    </row>
    <row r="23" spans="1:78" s="43" customFormat="1" ht="54" customHeight="1">
      <c r="A23" s="42"/>
      <c r="B23" s="46"/>
      <c r="C23" s="42"/>
      <c r="D23" s="42"/>
      <c r="E23" s="38" t="s">
        <v>424</v>
      </c>
      <c r="F23" s="26"/>
      <c r="G23" s="26"/>
      <c r="H23" s="26"/>
      <c r="I23" s="26"/>
      <c r="J23" s="26"/>
      <c r="K23" s="26"/>
      <c r="L23" s="26"/>
      <c r="M23" s="26"/>
      <c r="N23" s="26"/>
      <c r="O23" s="26"/>
      <c r="P23" s="26"/>
      <c r="Q23" s="26"/>
      <c r="R23" s="26"/>
      <c r="S23" s="26"/>
      <c r="T23" s="26"/>
      <c r="U23" s="26"/>
      <c r="V23" s="26"/>
      <c r="W23" s="12"/>
      <c r="X23" s="12"/>
      <c r="Y23" s="12"/>
      <c r="Z23" s="12"/>
      <c r="AA23" s="12"/>
      <c r="AB23" s="12"/>
      <c r="AC23" s="12"/>
      <c r="AD23" s="8" t="e">
        <f t="shared" si="0"/>
        <v>#N/A</v>
      </c>
      <c r="AE23" s="52" t="e">
        <f>RANK(AD23,$AD6:$AD29,0)</f>
        <v>#N/A</v>
      </c>
      <c r="AF23" s="47"/>
      <c r="AG23" s="42"/>
      <c r="AH23" s="42"/>
      <c r="AI23" s="42"/>
      <c r="AJ23" s="42"/>
      <c r="AK23" s="56" t="e">
        <f>VLOOKUP(F23, Table283781012[#All], 2, 0)</f>
        <v>#N/A</v>
      </c>
      <c r="AL23" s="56" t="e">
        <f>VLOOKUP(G23, Table283781012[#All], 2, 0)</f>
        <v>#N/A</v>
      </c>
      <c r="AM23" s="56" t="e">
        <f>VLOOKUP(H23, Table283781012[#All], 2, 0)</f>
        <v>#N/A</v>
      </c>
      <c r="AN23" s="56" t="e">
        <f>VLOOKUP(I23, Table283781012[#All], 2, 0)</f>
        <v>#N/A</v>
      </c>
      <c r="AO23" s="56" t="e">
        <f>VLOOKUP(J23, Table283781012[#All], 2, 0)</f>
        <v>#N/A</v>
      </c>
      <c r="AP23" s="56" t="e">
        <f>VLOOKUP(K23, Table283781012[#All], 2, 0)</f>
        <v>#N/A</v>
      </c>
      <c r="AQ23" s="56" t="e">
        <f>VLOOKUP(L23, Table283781012[#All], 2, 0)</f>
        <v>#N/A</v>
      </c>
      <c r="AR23" s="56" t="e">
        <f>VLOOKUP(M23, Table283781012[#All], 2, 0)</f>
        <v>#N/A</v>
      </c>
      <c r="AS23" s="56" t="e">
        <f>VLOOKUP(N23, Table283781012[#All], 2, 0)</f>
        <v>#N/A</v>
      </c>
      <c r="AT23" s="56" t="e">
        <f>VLOOKUP(O23, Table283781012[#All], 2, 0)</f>
        <v>#N/A</v>
      </c>
      <c r="AU23" s="56" t="e">
        <f>VLOOKUP(P23, Table283781012[#All], 2, 0)</f>
        <v>#N/A</v>
      </c>
      <c r="AV23" s="56" t="e">
        <f>VLOOKUP(Q23, Table283781012[#All], 2, 0)</f>
        <v>#N/A</v>
      </c>
      <c r="AW23" s="56" t="e">
        <f>VLOOKUP(R23, Table283781012[#All], 2, 0)</f>
        <v>#N/A</v>
      </c>
      <c r="AX23" s="56" t="e">
        <f>VLOOKUP(S23, Table283781012[#All], 2, 0)</f>
        <v>#N/A</v>
      </c>
      <c r="AY23" s="56" t="e">
        <f>VLOOKUP(T23, Table283781012[#All], 2, 0)</f>
        <v>#N/A</v>
      </c>
      <c r="AZ23" s="56" t="e">
        <f>VLOOKUP(U23, Table283781012[#All], 2, 0)</f>
        <v>#N/A</v>
      </c>
      <c r="BA23" s="56" t="e">
        <f>VLOOKUP(V23, Table283781012[#All], 2, 0)</f>
        <v>#N/A</v>
      </c>
      <c r="BB23" s="58"/>
      <c r="BC23" s="68" t="e">
        <f>1/BB24</f>
        <v>#N/A</v>
      </c>
      <c r="BD23" s="68" t="e">
        <f>1/BB25</f>
        <v>#N/A</v>
      </c>
      <c r="BE23" s="68" t="e">
        <f>1/BB26</f>
        <v>#N/A</v>
      </c>
      <c r="BF23" s="68" t="e">
        <f>1/BB27</f>
        <v>#N/A</v>
      </c>
      <c r="BG23" s="68" t="e">
        <f>1/BB28</f>
        <v>#N/A</v>
      </c>
      <c r="BH23" s="68" t="e">
        <f>1/BB29</f>
        <v>#N/A</v>
      </c>
      <c r="BI23" s="55" t="e">
        <f t="shared" si="1"/>
        <v>#N/A</v>
      </c>
      <c r="BJ23" s="42"/>
      <c r="BK23" s="42"/>
      <c r="BL23" s="42"/>
      <c r="BM23" s="42"/>
      <c r="BN23" s="42"/>
      <c r="BO23" s="42"/>
      <c r="BP23" s="42"/>
      <c r="BQ23" s="42"/>
      <c r="BR23" s="42"/>
      <c r="BS23" s="42"/>
      <c r="BT23" s="42"/>
      <c r="BU23" s="42"/>
      <c r="BV23" s="42"/>
      <c r="BW23" s="42"/>
      <c r="BX23" s="42"/>
      <c r="BY23" s="42"/>
      <c r="BZ23" s="42"/>
    </row>
    <row r="24" spans="1:78" s="43" customFormat="1" ht="57" customHeight="1">
      <c r="A24" s="42"/>
      <c r="B24" s="46"/>
      <c r="C24" s="42"/>
      <c r="D24" s="42"/>
      <c r="E24" s="38" t="s">
        <v>423</v>
      </c>
      <c r="F24" s="26"/>
      <c r="G24" s="26"/>
      <c r="H24" s="26"/>
      <c r="I24" s="26"/>
      <c r="J24" s="26"/>
      <c r="K24" s="26"/>
      <c r="L24" s="26"/>
      <c r="M24" s="26"/>
      <c r="N24" s="26"/>
      <c r="O24" s="26"/>
      <c r="P24" s="26"/>
      <c r="Q24" s="26"/>
      <c r="R24" s="26"/>
      <c r="S24" s="26"/>
      <c r="T24" s="26"/>
      <c r="U24" s="26"/>
      <c r="V24" s="26"/>
      <c r="W24" s="26"/>
      <c r="X24" s="12"/>
      <c r="Y24" s="12"/>
      <c r="Z24" s="12"/>
      <c r="AA24" s="12"/>
      <c r="AB24" s="12"/>
      <c r="AC24" s="12"/>
      <c r="AD24" s="8" t="e">
        <f t="shared" si="0"/>
        <v>#N/A</v>
      </c>
      <c r="AE24" s="52" t="e">
        <f>RANK(AD24,$AD6:$AD29,0)</f>
        <v>#N/A</v>
      </c>
      <c r="AF24" s="47"/>
      <c r="AG24" s="42"/>
      <c r="AH24" s="42"/>
      <c r="AI24" s="42"/>
      <c r="AJ24" s="42"/>
      <c r="AK24" s="56" t="e">
        <f>VLOOKUP(F24, Table283781012[#All], 2, 0)</f>
        <v>#N/A</v>
      </c>
      <c r="AL24" s="56" t="e">
        <f>VLOOKUP(G24, Table283781012[#All], 2, 0)</f>
        <v>#N/A</v>
      </c>
      <c r="AM24" s="56" t="e">
        <f>VLOOKUP(H24, Table283781012[#All], 2, 0)</f>
        <v>#N/A</v>
      </c>
      <c r="AN24" s="56" t="e">
        <f>VLOOKUP(I24, Table283781012[#All], 2, 0)</f>
        <v>#N/A</v>
      </c>
      <c r="AO24" s="56" t="e">
        <f>VLOOKUP(J24, Table283781012[#All], 2, 0)</f>
        <v>#N/A</v>
      </c>
      <c r="AP24" s="56" t="e">
        <f>VLOOKUP(K24, Table283781012[#All], 2, 0)</f>
        <v>#N/A</v>
      </c>
      <c r="AQ24" s="56" t="e">
        <f>VLOOKUP(L24, Table283781012[#All], 2, 0)</f>
        <v>#N/A</v>
      </c>
      <c r="AR24" s="56" t="e">
        <f>VLOOKUP(M24, Table283781012[#All], 2, 0)</f>
        <v>#N/A</v>
      </c>
      <c r="AS24" s="56" t="e">
        <f>VLOOKUP(N24, Table283781012[#All], 2, 0)</f>
        <v>#N/A</v>
      </c>
      <c r="AT24" s="56" t="e">
        <f>VLOOKUP(O24, Table283781012[#All], 2, 0)</f>
        <v>#N/A</v>
      </c>
      <c r="AU24" s="56" t="e">
        <f>VLOOKUP(P24, Table283781012[#All], 2, 0)</f>
        <v>#N/A</v>
      </c>
      <c r="AV24" s="56" t="e">
        <f>VLOOKUP(Q24, Table283781012[#All], 2, 0)</f>
        <v>#N/A</v>
      </c>
      <c r="AW24" s="56" t="e">
        <f>VLOOKUP(R24, Table283781012[#All], 2, 0)</f>
        <v>#N/A</v>
      </c>
      <c r="AX24" s="56" t="e">
        <f>VLOOKUP(S24, Table283781012[#All], 2, 0)</f>
        <v>#N/A</v>
      </c>
      <c r="AY24" s="56" t="e">
        <f>VLOOKUP(T24, Table283781012[#All], 2, 0)</f>
        <v>#N/A</v>
      </c>
      <c r="AZ24" s="56" t="e">
        <f>VLOOKUP(U24, Table283781012[#All], 2, 0)</f>
        <v>#N/A</v>
      </c>
      <c r="BA24" s="56" t="e">
        <f>VLOOKUP(V24, Table283781012[#All], 2, 0)</f>
        <v>#N/A</v>
      </c>
      <c r="BB24" s="56" t="e">
        <f>VLOOKUP(W24, Table283781012[#All], 2, 0)</f>
        <v>#N/A</v>
      </c>
      <c r="BC24" s="58"/>
      <c r="BD24" s="68" t="e">
        <f>1/BC25</f>
        <v>#N/A</v>
      </c>
      <c r="BE24" s="68" t="e">
        <f>1/BC26</f>
        <v>#N/A</v>
      </c>
      <c r="BF24" s="68" t="e">
        <f>1/BC27</f>
        <v>#N/A</v>
      </c>
      <c r="BG24" s="68" t="e">
        <f>1/BC28</f>
        <v>#N/A</v>
      </c>
      <c r="BH24" s="68" t="e">
        <f>1/BC29</f>
        <v>#N/A</v>
      </c>
      <c r="BI24" s="55" t="e">
        <f t="shared" si="1"/>
        <v>#N/A</v>
      </c>
      <c r="BJ24" s="42"/>
      <c r="BK24" s="42"/>
      <c r="BL24" s="42"/>
      <c r="BM24" s="42"/>
      <c r="BN24" s="42"/>
      <c r="BO24" s="42"/>
      <c r="BP24" s="42"/>
      <c r="BQ24" s="42"/>
      <c r="BR24" s="42"/>
      <c r="BS24" s="42"/>
      <c r="BT24" s="42"/>
      <c r="BU24" s="42"/>
      <c r="BV24" s="42"/>
      <c r="BW24" s="42"/>
      <c r="BX24" s="42"/>
      <c r="BY24" s="42"/>
      <c r="BZ24" s="42"/>
    </row>
    <row r="25" spans="1:78" s="43" customFormat="1" ht="55.9" customHeight="1">
      <c r="A25" s="42"/>
      <c r="B25" s="46"/>
      <c r="C25" s="42"/>
      <c r="D25" s="42"/>
      <c r="E25" s="38" t="s">
        <v>422</v>
      </c>
      <c r="F25" s="26"/>
      <c r="G25" s="26"/>
      <c r="H25" s="26"/>
      <c r="I25" s="26"/>
      <c r="J25" s="26"/>
      <c r="K25" s="26"/>
      <c r="L25" s="26"/>
      <c r="M25" s="26"/>
      <c r="N25" s="26"/>
      <c r="O25" s="26"/>
      <c r="P25" s="26"/>
      <c r="Q25" s="26"/>
      <c r="R25" s="26"/>
      <c r="S25" s="26"/>
      <c r="T25" s="26"/>
      <c r="U25" s="26"/>
      <c r="V25" s="26"/>
      <c r="W25" s="26"/>
      <c r="X25" s="26"/>
      <c r="Y25" s="12"/>
      <c r="Z25" s="12"/>
      <c r="AA25" s="12"/>
      <c r="AB25" s="12"/>
      <c r="AC25" s="12"/>
      <c r="AD25" s="8" t="e">
        <f t="shared" si="0"/>
        <v>#N/A</v>
      </c>
      <c r="AE25" s="52" t="e">
        <f>RANK(AD25,$AD6:$AD29,0)</f>
        <v>#N/A</v>
      </c>
      <c r="AF25" s="47"/>
      <c r="AG25" s="42"/>
      <c r="AH25" s="42"/>
      <c r="AI25" s="42"/>
      <c r="AJ25" s="42"/>
      <c r="AK25" s="56" t="e">
        <f>VLOOKUP(F25, Table283781012[#All], 2, 0)</f>
        <v>#N/A</v>
      </c>
      <c r="AL25" s="56" t="e">
        <f>VLOOKUP(G25, Table283781012[#All], 2, 0)</f>
        <v>#N/A</v>
      </c>
      <c r="AM25" s="56" t="e">
        <f>VLOOKUP(H25, Table283781012[#All], 2, 0)</f>
        <v>#N/A</v>
      </c>
      <c r="AN25" s="56" t="e">
        <f>VLOOKUP(I25, Table283781012[#All], 2, 0)</f>
        <v>#N/A</v>
      </c>
      <c r="AO25" s="56" t="e">
        <f>VLOOKUP(J25, Table283781012[#All], 2, 0)</f>
        <v>#N/A</v>
      </c>
      <c r="AP25" s="56" t="e">
        <f>VLOOKUP(K25, Table283781012[#All], 2, 0)</f>
        <v>#N/A</v>
      </c>
      <c r="AQ25" s="56" t="e">
        <f>VLOOKUP(L25, Table283781012[#All], 2, 0)</f>
        <v>#N/A</v>
      </c>
      <c r="AR25" s="56" t="e">
        <f>VLOOKUP(M25, Table283781012[#All], 2, 0)</f>
        <v>#N/A</v>
      </c>
      <c r="AS25" s="56" t="e">
        <f>VLOOKUP(N25, Table283781012[#All], 2, 0)</f>
        <v>#N/A</v>
      </c>
      <c r="AT25" s="56" t="e">
        <f>VLOOKUP(O25, Table283781012[#All], 2, 0)</f>
        <v>#N/A</v>
      </c>
      <c r="AU25" s="56" t="e">
        <f>VLOOKUP(P25, Table283781012[#All], 2, 0)</f>
        <v>#N/A</v>
      </c>
      <c r="AV25" s="56" t="e">
        <f>VLOOKUP(Q25, Table283781012[#All], 2, 0)</f>
        <v>#N/A</v>
      </c>
      <c r="AW25" s="56" t="e">
        <f>VLOOKUP(R25, Table283781012[#All], 2, 0)</f>
        <v>#N/A</v>
      </c>
      <c r="AX25" s="56" t="e">
        <f>VLOOKUP(S25, Table283781012[#All], 2, 0)</f>
        <v>#N/A</v>
      </c>
      <c r="AY25" s="56" t="e">
        <f>VLOOKUP(T25, Table283781012[#All], 2, 0)</f>
        <v>#N/A</v>
      </c>
      <c r="AZ25" s="56" t="e">
        <f>VLOOKUP(U25, Table283781012[#All], 2, 0)</f>
        <v>#N/A</v>
      </c>
      <c r="BA25" s="56" t="e">
        <f>VLOOKUP(V25, Table283781012[#All], 2, 0)</f>
        <v>#N/A</v>
      </c>
      <c r="BB25" s="56" t="e">
        <f>VLOOKUP(W25, Table283781012[#All], 2, 0)</f>
        <v>#N/A</v>
      </c>
      <c r="BC25" s="56" t="e">
        <f>VLOOKUP(X25, Table283781012[#All], 2, 0)</f>
        <v>#N/A</v>
      </c>
      <c r="BD25" s="58"/>
      <c r="BE25" s="68" t="e">
        <f>1/BD26</f>
        <v>#N/A</v>
      </c>
      <c r="BF25" s="68" t="e">
        <f>1/BD27</f>
        <v>#N/A</v>
      </c>
      <c r="BG25" s="68" t="e">
        <f>1/BD28</f>
        <v>#N/A</v>
      </c>
      <c r="BH25" s="68" t="e">
        <f>1/BD29</f>
        <v>#N/A</v>
      </c>
      <c r="BI25" s="55" t="e">
        <f t="shared" si="1"/>
        <v>#N/A</v>
      </c>
      <c r="BJ25" s="42"/>
      <c r="BK25" s="42"/>
      <c r="BL25" s="42"/>
      <c r="BM25" s="42"/>
      <c r="BN25" s="42"/>
      <c r="BO25" s="42"/>
      <c r="BP25" s="42"/>
      <c r="BQ25" s="42"/>
      <c r="BR25" s="42"/>
      <c r="BS25" s="42"/>
      <c r="BT25" s="42"/>
      <c r="BU25" s="42"/>
      <c r="BV25" s="42"/>
      <c r="BW25" s="42"/>
      <c r="BX25" s="42"/>
      <c r="BY25" s="42"/>
      <c r="BZ25" s="42"/>
    </row>
    <row r="26" spans="1:78" s="43" customFormat="1" ht="56.45" customHeight="1">
      <c r="A26" s="42"/>
      <c r="B26" s="46"/>
      <c r="C26" s="42"/>
      <c r="D26" s="42"/>
      <c r="E26" s="38" t="s">
        <v>421</v>
      </c>
      <c r="F26" s="26"/>
      <c r="G26" s="26"/>
      <c r="H26" s="26"/>
      <c r="I26" s="26"/>
      <c r="J26" s="26"/>
      <c r="K26" s="26"/>
      <c r="L26" s="26"/>
      <c r="M26" s="26"/>
      <c r="N26" s="26"/>
      <c r="O26" s="26"/>
      <c r="P26" s="26"/>
      <c r="Q26" s="26"/>
      <c r="R26" s="26"/>
      <c r="S26" s="26"/>
      <c r="T26" s="26"/>
      <c r="U26" s="26"/>
      <c r="V26" s="26"/>
      <c r="W26" s="26"/>
      <c r="X26" s="26"/>
      <c r="Y26" s="26"/>
      <c r="Z26" s="12"/>
      <c r="AA26" s="12"/>
      <c r="AB26" s="12"/>
      <c r="AC26" s="12"/>
      <c r="AD26" s="8" t="e">
        <f t="shared" si="0"/>
        <v>#N/A</v>
      </c>
      <c r="AE26" s="52" t="e">
        <f>RANK(AD26,$AD6:$AD29,0)</f>
        <v>#N/A</v>
      </c>
      <c r="AF26" s="47"/>
      <c r="AG26" s="42"/>
      <c r="AH26" s="42"/>
      <c r="AI26" s="42"/>
      <c r="AJ26" s="42"/>
      <c r="AK26" s="56" t="e">
        <f>VLOOKUP(F26, Table283781012[#All], 2, 0)</f>
        <v>#N/A</v>
      </c>
      <c r="AL26" s="56" t="e">
        <f>VLOOKUP(G26, Table283781012[#All], 2, 0)</f>
        <v>#N/A</v>
      </c>
      <c r="AM26" s="56" t="e">
        <f>VLOOKUP(H26, Table283781012[#All], 2, 0)</f>
        <v>#N/A</v>
      </c>
      <c r="AN26" s="56" t="e">
        <f>VLOOKUP(I26, Table283781012[#All], 2, 0)</f>
        <v>#N/A</v>
      </c>
      <c r="AO26" s="56" t="e">
        <f>VLOOKUP(J26, Table283781012[#All], 2, 0)</f>
        <v>#N/A</v>
      </c>
      <c r="AP26" s="56" t="e">
        <f>VLOOKUP(K26, Table283781012[#All], 2, 0)</f>
        <v>#N/A</v>
      </c>
      <c r="AQ26" s="56" t="e">
        <f>VLOOKUP(L26, Table283781012[#All], 2, 0)</f>
        <v>#N/A</v>
      </c>
      <c r="AR26" s="56" t="e">
        <f>VLOOKUP(M26, Table283781012[#All], 2, 0)</f>
        <v>#N/A</v>
      </c>
      <c r="AS26" s="56" t="e">
        <f>VLOOKUP(N26, Table283781012[#All], 2, 0)</f>
        <v>#N/A</v>
      </c>
      <c r="AT26" s="56" t="e">
        <f>VLOOKUP(O26, Table283781012[#All], 2, 0)</f>
        <v>#N/A</v>
      </c>
      <c r="AU26" s="56" t="e">
        <f>VLOOKUP(P26, Table283781012[#All], 2, 0)</f>
        <v>#N/A</v>
      </c>
      <c r="AV26" s="56" t="e">
        <f>VLOOKUP(Q26, Table283781012[#All], 2, 0)</f>
        <v>#N/A</v>
      </c>
      <c r="AW26" s="56" t="e">
        <f>VLOOKUP(R26, Table283781012[#All], 2, 0)</f>
        <v>#N/A</v>
      </c>
      <c r="AX26" s="56" t="e">
        <f>VLOOKUP(S26, Table283781012[#All], 2, 0)</f>
        <v>#N/A</v>
      </c>
      <c r="AY26" s="56" t="e">
        <f>VLOOKUP(T26, Table283781012[#All], 2, 0)</f>
        <v>#N/A</v>
      </c>
      <c r="AZ26" s="56" t="e">
        <f>VLOOKUP(U26, Table283781012[#All], 2, 0)</f>
        <v>#N/A</v>
      </c>
      <c r="BA26" s="56" t="e">
        <f>VLOOKUP(V26, Table283781012[#All], 2, 0)</f>
        <v>#N/A</v>
      </c>
      <c r="BB26" s="56" t="e">
        <f>VLOOKUP(W26, Table283781012[#All], 2, 0)</f>
        <v>#N/A</v>
      </c>
      <c r="BC26" s="56" t="e">
        <f>VLOOKUP(X26, Table283781012[#All], 2, 0)</f>
        <v>#N/A</v>
      </c>
      <c r="BD26" s="56" t="e">
        <f>VLOOKUP(Y26, Table283781012[#All], 2, 0)</f>
        <v>#N/A</v>
      </c>
      <c r="BE26" s="58"/>
      <c r="BF26" s="68" t="e">
        <f>1/BE27</f>
        <v>#N/A</v>
      </c>
      <c r="BG26" s="68" t="e">
        <f>1/BE28</f>
        <v>#N/A</v>
      </c>
      <c r="BH26" s="68" t="e">
        <f>1/BE29</f>
        <v>#N/A</v>
      </c>
      <c r="BI26" s="55" t="e">
        <f t="shared" si="1"/>
        <v>#N/A</v>
      </c>
      <c r="BJ26" s="42"/>
      <c r="BK26" s="42"/>
      <c r="BL26" s="42"/>
      <c r="BM26" s="42"/>
      <c r="BN26" s="42"/>
      <c r="BO26" s="42"/>
      <c r="BP26" s="42"/>
      <c r="BQ26" s="42"/>
      <c r="BR26" s="42"/>
      <c r="BS26" s="42"/>
      <c r="BT26" s="42"/>
      <c r="BU26" s="42"/>
      <c r="BV26" s="42"/>
      <c r="BW26" s="42"/>
      <c r="BX26" s="42"/>
      <c r="BY26" s="42"/>
      <c r="BZ26" s="42"/>
    </row>
    <row r="27" spans="1:78" s="43" customFormat="1" ht="51.95" customHeight="1">
      <c r="A27" s="42"/>
      <c r="B27" s="46"/>
      <c r="C27" s="42"/>
      <c r="D27" s="42"/>
      <c r="E27" s="38" t="s">
        <v>420</v>
      </c>
      <c r="F27" s="26"/>
      <c r="G27" s="26"/>
      <c r="H27" s="26"/>
      <c r="I27" s="26"/>
      <c r="J27" s="26"/>
      <c r="K27" s="26"/>
      <c r="L27" s="26"/>
      <c r="M27" s="26"/>
      <c r="N27" s="26"/>
      <c r="O27" s="26"/>
      <c r="P27" s="26"/>
      <c r="Q27" s="26"/>
      <c r="R27" s="26"/>
      <c r="S27" s="26"/>
      <c r="T27" s="26"/>
      <c r="U27" s="26"/>
      <c r="V27" s="26"/>
      <c r="W27" s="26"/>
      <c r="X27" s="26"/>
      <c r="Y27" s="26"/>
      <c r="Z27" s="26"/>
      <c r="AA27" s="12"/>
      <c r="AB27" s="12"/>
      <c r="AC27" s="12"/>
      <c r="AD27" s="8" t="e">
        <f t="shared" si="0"/>
        <v>#N/A</v>
      </c>
      <c r="AE27" s="52" t="e">
        <f>RANK(AD27,$AD6:$AD29,0)</f>
        <v>#N/A</v>
      </c>
      <c r="AF27" s="47"/>
      <c r="AG27" s="42"/>
      <c r="AH27" s="42"/>
      <c r="AI27" s="42"/>
      <c r="AJ27" s="42"/>
      <c r="AK27" s="56" t="e">
        <f>VLOOKUP(F27, Table283781012[#All], 2, 0)</f>
        <v>#N/A</v>
      </c>
      <c r="AL27" s="56" t="e">
        <f>VLOOKUP(G27, Table283781012[#All], 2, 0)</f>
        <v>#N/A</v>
      </c>
      <c r="AM27" s="56" t="e">
        <f>VLOOKUP(H27, Table283781012[#All], 2, 0)</f>
        <v>#N/A</v>
      </c>
      <c r="AN27" s="56" t="e">
        <f>VLOOKUP(I27, Table283781012[#All], 2, 0)</f>
        <v>#N/A</v>
      </c>
      <c r="AO27" s="56" t="e">
        <f>VLOOKUP(J27, Table283781012[#All], 2, 0)</f>
        <v>#N/A</v>
      </c>
      <c r="AP27" s="56" t="e">
        <f>VLOOKUP(K27, Table283781012[#All], 2, 0)</f>
        <v>#N/A</v>
      </c>
      <c r="AQ27" s="56" t="e">
        <f>VLOOKUP(L27, Table283781012[#All], 2, 0)</f>
        <v>#N/A</v>
      </c>
      <c r="AR27" s="56" t="e">
        <f>VLOOKUP(M27, Table283781012[#All], 2, 0)</f>
        <v>#N/A</v>
      </c>
      <c r="AS27" s="56" t="e">
        <f>VLOOKUP(N27, Table283781012[#All], 2, 0)</f>
        <v>#N/A</v>
      </c>
      <c r="AT27" s="56" t="e">
        <f>VLOOKUP(O27, Table283781012[#All], 2, 0)</f>
        <v>#N/A</v>
      </c>
      <c r="AU27" s="56" t="e">
        <f>VLOOKUP(P27, Table283781012[#All], 2, 0)</f>
        <v>#N/A</v>
      </c>
      <c r="AV27" s="56" t="e">
        <f>VLOOKUP(Q27, Table283781012[#All], 2, 0)</f>
        <v>#N/A</v>
      </c>
      <c r="AW27" s="56" t="e">
        <f>VLOOKUP(R27, Table283781012[#All], 2, 0)</f>
        <v>#N/A</v>
      </c>
      <c r="AX27" s="56" t="e">
        <f>VLOOKUP(S27, Table283781012[#All], 2, 0)</f>
        <v>#N/A</v>
      </c>
      <c r="AY27" s="56" t="e">
        <f>VLOOKUP(T27, Table283781012[#All], 2, 0)</f>
        <v>#N/A</v>
      </c>
      <c r="AZ27" s="56" t="e">
        <f>VLOOKUP(U27, Table283781012[#All], 2, 0)</f>
        <v>#N/A</v>
      </c>
      <c r="BA27" s="56" t="e">
        <f>VLOOKUP(V27, Table283781012[#All], 2, 0)</f>
        <v>#N/A</v>
      </c>
      <c r="BB27" s="56" t="e">
        <f>VLOOKUP(W27, Table283781012[#All], 2, 0)</f>
        <v>#N/A</v>
      </c>
      <c r="BC27" s="56" t="e">
        <f>VLOOKUP(X27, Table283781012[#All], 2, 0)</f>
        <v>#N/A</v>
      </c>
      <c r="BD27" s="56" t="e">
        <f>VLOOKUP(Y27, Table283781012[#All], 2, 0)</f>
        <v>#N/A</v>
      </c>
      <c r="BE27" s="56" t="e">
        <f>VLOOKUP(Z27, Table283781012[#All], 2, 0)</f>
        <v>#N/A</v>
      </c>
      <c r="BF27" s="58"/>
      <c r="BG27" s="68" t="e">
        <f>1/BF28</f>
        <v>#N/A</v>
      </c>
      <c r="BH27" s="68" t="e">
        <f>1/BF29</f>
        <v>#N/A</v>
      </c>
      <c r="BI27" s="55" t="e">
        <f t="shared" si="1"/>
        <v>#N/A</v>
      </c>
      <c r="BJ27" s="42"/>
      <c r="BK27" s="42"/>
      <c r="BL27" s="42"/>
      <c r="BM27" s="42"/>
      <c r="BN27" s="42"/>
      <c r="BO27" s="42"/>
      <c r="BP27" s="42"/>
      <c r="BQ27" s="42"/>
      <c r="BR27" s="42"/>
      <c r="BS27" s="42"/>
      <c r="BT27" s="42"/>
      <c r="BU27" s="42"/>
      <c r="BV27" s="42"/>
      <c r="BW27" s="42"/>
      <c r="BX27" s="42"/>
      <c r="BY27" s="42"/>
      <c r="BZ27" s="42"/>
    </row>
    <row r="28" spans="1:78" s="43" customFormat="1" ht="82.35" customHeight="1">
      <c r="A28" s="42"/>
      <c r="B28" s="46"/>
      <c r="C28" s="42"/>
      <c r="D28" s="42"/>
      <c r="E28" s="38" t="s">
        <v>419</v>
      </c>
      <c r="F28" s="26"/>
      <c r="G28" s="26"/>
      <c r="H28" s="26"/>
      <c r="I28" s="26"/>
      <c r="J28" s="26"/>
      <c r="K28" s="26"/>
      <c r="L28" s="26"/>
      <c r="M28" s="26"/>
      <c r="N28" s="26"/>
      <c r="O28" s="26"/>
      <c r="P28" s="26"/>
      <c r="Q28" s="26"/>
      <c r="R28" s="26"/>
      <c r="S28" s="26"/>
      <c r="T28" s="26"/>
      <c r="U28" s="26"/>
      <c r="V28" s="26"/>
      <c r="W28" s="26"/>
      <c r="X28" s="26"/>
      <c r="Y28" s="26"/>
      <c r="Z28" s="26"/>
      <c r="AA28" s="26"/>
      <c r="AB28" s="12"/>
      <c r="AC28" s="12"/>
      <c r="AD28" s="8" t="e">
        <f t="shared" si="0"/>
        <v>#N/A</v>
      </c>
      <c r="AE28" s="52" t="e">
        <f>RANK(AD28,$AD6:$AD29,0)</f>
        <v>#N/A</v>
      </c>
      <c r="AF28" s="47"/>
      <c r="AG28" s="42"/>
      <c r="AH28" s="42"/>
      <c r="AI28" s="42"/>
      <c r="AJ28" s="42"/>
      <c r="AK28" s="56" t="e">
        <f>VLOOKUP(F28, Table283781012[#All], 2, 0)</f>
        <v>#N/A</v>
      </c>
      <c r="AL28" s="56" t="e">
        <f>VLOOKUP(G28, Table283781012[#All], 2, 0)</f>
        <v>#N/A</v>
      </c>
      <c r="AM28" s="56" t="e">
        <f>VLOOKUP(H28, Table283781012[#All], 2, 0)</f>
        <v>#N/A</v>
      </c>
      <c r="AN28" s="56" t="e">
        <f>VLOOKUP(I28, Table283781012[#All], 2, 0)</f>
        <v>#N/A</v>
      </c>
      <c r="AO28" s="56" t="e">
        <f>VLOOKUP(J28, Table283781012[#All], 2, 0)</f>
        <v>#N/A</v>
      </c>
      <c r="AP28" s="56" t="e">
        <f>VLOOKUP(K28, Table283781012[#All], 2, 0)</f>
        <v>#N/A</v>
      </c>
      <c r="AQ28" s="56" t="e">
        <f>VLOOKUP(L28, Table283781012[#All], 2, 0)</f>
        <v>#N/A</v>
      </c>
      <c r="AR28" s="56" t="e">
        <f>VLOOKUP(M28, Table283781012[#All], 2, 0)</f>
        <v>#N/A</v>
      </c>
      <c r="AS28" s="56" t="e">
        <f>VLOOKUP(N28, Table283781012[#All], 2, 0)</f>
        <v>#N/A</v>
      </c>
      <c r="AT28" s="56" t="e">
        <f>VLOOKUP(O28, Table283781012[#All], 2, 0)</f>
        <v>#N/A</v>
      </c>
      <c r="AU28" s="56" t="e">
        <f>VLOOKUP(P28, Table283781012[#All], 2, 0)</f>
        <v>#N/A</v>
      </c>
      <c r="AV28" s="56" t="e">
        <f>VLOOKUP(Q28, Table283781012[#All], 2, 0)</f>
        <v>#N/A</v>
      </c>
      <c r="AW28" s="56" t="e">
        <f>VLOOKUP(R28, Table283781012[#All], 2, 0)</f>
        <v>#N/A</v>
      </c>
      <c r="AX28" s="56" t="e">
        <f>VLOOKUP(S28, Table283781012[#All], 2, 0)</f>
        <v>#N/A</v>
      </c>
      <c r="AY28" s="56" t="e">
        <f>VLOOKUP(T28, Table283781012[#All], 2, 0)</f>
        <v>#N/A</v>
      </c>
      <c r="AZ28" s="56" t="e">
        <f>VLOOKUP(U28, Table283781012[#All], 2, 0)</f>
        <v>#N/A</v>
      </c>
      <c r="BA28" s="56" t="e">
        <f>VLOOKUP(V28, Table283781012[#All], 2, 0)</f>
        <v>#N/A</v>
      </c>
      <c r="BB28" s="56" t="e">
        <f>VLOOKUP(W28, Table283781012[#All], 2, 0)</f>
        <v>#N/A</v>
      </c>
      <c r="BC28" s="56" t="e">
        <f>VLOOKUP(X28, Table283781012[#All], 2, 0)</f>
        <v>#N/A</v>
      </c>
      <c r="BD28" s="56" t="e">
        <f>VLOOKUP(Y28, Table283781012[#All], 2, 0)</f>
        <v>#N/A</v>
      </c>
      <c r="BE28" s="56" t="e">
        <f>VLOOKUP(Z28, Table283781012[#All], 2, 0)</f>
        <v>#N/A</v>
      </c>
      <c r="BF28" s="56" t="e">
        <f>VLOOKUP(AA28, Table283781012[#All], 2, 0)</f>
        <v>#N/A</v>
      </c>
      <c r="BG28" s="58"/>
      <c r="BH28" s="68" t="e">
        <f>1/BG29</f>
        <v>#N/A</v>
      </c>
      <c r="BI28" s="55" t="e">
        <f t="shared" si="1"/>
        <v>#N/A</v>
      </c>
      <c r="BJ28" s="42"/>
      <c r="BK28" s="42"/>
      <c r="BL28" s="42"/>
      <c r="BM28" s="42"/>
      <c r="BN28" s="42"/>
      <c r="BO28" s="42"/>
      <c r="BP28" s="42"/>
      <c r="BQ28" s="42"/>
      <c r="BR28" s="42"/>
      <c r="BS28" s="42"/>
      <c r="BT28" s="42"/>
      <c r="BU28" s="42"/>
      <c r="BV28" s="42"/>
      <c r="BW28" s="42"/>
      <c r="BX28" s="42"/>
      <c r="BY28" s="42"/>
      <c r="BZ28" s="42"/>
    </row>
    <row r="29" spans="1:78" s="43" customFormat="1" ht="69.400000000000006" customHeight="1" thickBot="1">
      <c r="A29" s="42"/>
      <c r="B29" s="46"/>
      <c r="C29" s="42"/>
      <c r="D29" s="42"/>
      <c r="E29" s="39" t="s">
        <v>418</v>
      </c>
      <c r="F29" s="27"/>
      <c r="G29" s="27"/>
      <c r="H29" s="27"/>
      <c r="I29" s="27"/>
      <c r="J29" s="27"/>
      <c r="K29" s="27"/>
      <c r="L29" s="27"/>
      <c r="M29" s="27"/>
      <c r="N29" s="27"/>
      <c r="O29" s="27"/>
      <c r="P29" s="27"/>
      <c r="Q29" s="27"/>
      <c r="R29" s="27"/>
      <c r="S29" s="27"/>
      <c r="T29" s="27"/>
      <c r="U29" s="27"/>
      <c r="V29" s="27"/>
      <c r="W29" s="27"/>
      <c r="X29" s="27"/>
      <c r="Y29" s="27"/>
      <c r="Z29" s="27"/>
      <c r="AA29" s="27"/>
      <c r="AB29" s="27"/>
      <c r="AC29" s="6"/>
      <c r="AD29" s="13" t="e">
        <f t="shared" si="0"/>
        <v>#N/A</v>
      </c>
      <c r="AE29" s="57" t="e">
        <f>RANK(AD29,$AD6:$AD29,0)</f>
        <v>#N/A</v>
      </c>
      <c r="AF29" s="47"/>
      <c r="AG29" s="42"/>
      <c r="AH29" s="42"/>
      <c r="AI29" s="42"/>
      <c r="AJ29" s="42"/>
      <c r="AK29" s="56" t="e">
        <f>VLOOKUP(F29, Table283781012[#All], 2, 0)</f>
        <v>#N/A</v>
      </c>
      <c r="AL29" s="56" t="e">
        <f>VLOOKUP(G29, Table283781012[#All], 2, 0)</f>
        <v>#N/A</v>
      </c>
      <c r="AM29" s="56" t="e">
        <f>VLOOKUP(H29, Table283781012[#All], 2, 0)</f>
        <v>#N/A</v>
      </c>
      <c r="AN29" s="56" t="e">
        <f>VLOOKUP(I29, Table283781012[#All], 2, 0)</f>
        <v>#N/A</v>
      </c>
      <c r="AO29" s="56" t="e">
        <f>VLOOKUP(J29, Table283781012[#All], 2, 0)</f>
        <v>#N/A</v>
      </c>
      <c r="AP29" s="56" t="e">
        <f>VLOOKUP(K29, Table283781012[#All], 2, 0)</f>
        <v>#N/A</v>
      </c>
      <c r="AQ29" s="56" t="e">
        <f>VLOOKUP(L29, Table283781012[#All], 2, 0)</f>
        <v>#N/A</v>
      </c>
      <c r="AR29" s="56" t="e">
        <f>VLOOKUP(M29, Table283781012[#All], 2, 0)</f>
        <v>#N/A</v>
      </c>
      <c r="AS29" s="56" t="e">
        <f>VLOOKUP(N29, Table283781012[#All], 2, 0)</f>
        <v>#N/A</v>
      </c>
      <c r="AT29" s="56" t="e">
        <f>VLOOKUP(O29, Table283781012[#All], 2, 0)</f>
        <v>#N/A</v>
      </c>
      <c r="AU29" s="56" t="e">
        <f>VLOOKUP(P29, Table283781012[#All], 2, 0)</f>
        <v>#N/A</v>
      </c>
      <c r="AV29" s="56" t="e">
        <f>VLOOKUP(Q29, Table283781012[#All], 2, 0)</f>
        <v>#N/A</v>
      </c>
      <c r="AW29" s="56" t="e">
        <f>VLOOKUP(R29, Table283781012[#All], 2, 0)</f>
        <v>#N/A</v>
      </c>
      <c r="AX29" s="56" t="e">
        <f>VLOOKUP(S29, Table283781012[#All], 2, 0)</f>
        <v>#N/A</v>
      </c>
      <c r="AY29" s="56" t="e">
        <f>VLOOKUP(T29, Table283781012[#All], 2, 0)</f>
        <v>#N/A</v>
      </c>
      <c r="AZ29" s="56" t="e">
        <f>VLOOKUP(U29, Table283781012[#All], 2, 0)</f>
        <v>#N/A</v>
      </c>
      <c r="BA29" s="56" t="e">
        <f>VLOOKUP(V29, Table283781012[#All], 2, 0)</f>
        <v>#N/A</v>
      </c>
      <c r="BB29" s="56" t="e">
        <f>VLOOKUP(W29, Table283781012[#All], 2, 0)</f>
        <v>#N/A</v>
      </c>
      <c r="BC29" s="56" t="e">
        <f>VLOOKUP(X29, Table283781012[#All], 2, 0)</f>
        <v>#N/A</v>
      </c>
      <c r="BD29" s="56" t="e">
        <f>VLOOKUP(Y29, Table283781012[#All], 2, 0)</f>
        <v>#N/A</v>
      </c>
      <c r="BE29" s="56" t="e">
        <f>VLOOKUP(Z29, Table283781012[#All], 2, 0)</f>
        <v>#N/A</v>
      </c>
      <c r="BF29" s="56" t="e">
        <f>VLOOKUP(AA29, Table283781012[#All], 2, 0)</f>
        <v>#N/A</v>
      </c>
      <c r="BG29" s="56" t="e">
        <f>VLOOKUP(AB29, Table283781012[#All], 2, 0)</f>
        <v>#N/A</v>
      </c>
      <c r="BH29" s="58"/>
      <c r="BI29" s="55" t="e">
        <f t="shared" si="1"/>
        <v>#N/A</v>
      </c>
      <c r="BJ29" s="42"/>
      <c r="BK29" s="42"/>
      <c r="BL29" s="42"/>
      <c r="BM29" s="42"/>
      <c r="BN29" s="42"/>
      <c r="BO29" s="42"/>
      <c r="BP29" s="42"/>
      <c r="BQ29" s="42"/>
      <c r="BR29" s="42"/>
      <c r="BS29" s="42"/>
      <c r="BT29" s="42"/>
      <c r="BU29" s="42"/>
      <c r="BV29" s="42"/>
      <c r="BW29" s="42"/>
      <c r="BX29" s="42"/>
      <c r="BY29" s="42"/>
      <c r="BZ29" s="42"/>
    </row>
    <row r="30" spans="1:78" ht="23.25" customHeight="1" thickBot="1">
      <c r="B30" s="62"/>
      <c r="C30" s="63"/>
      <c r="D30" s="6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63"/>
      <c r="AE30" s="63"/>
      <c r="AF30" s="64"/>
    </row>
    <row r="31" spans="1:78">
      <c r="E31" s="42"/>
    </row>
  </sheetData>
  <mergeCells count="2">
    <mergeCell ref="C2:AE2"/>
    <mergeCell ref="E4:AE4"/>
  </mergeCells>
  <dataValidations count="1">
    <dataValidation type="list" allowBlank="1" showInputMessage="1" showErrorMessage="1" sqref="J11:J17 F7:F17 K12:K17 L13:L17 I10:I17 M14:M16 N15:N16 O16 H9:H17 M17:P17 F18:Q18 F19:R19 F20:S29 G8:G17 U22:U29 V23:V29 W24:W29 X25:X29 Y26:Y29 Z27:Z29 AA28:AA29 AB29 T21:T29" xr:uid="{33512065-17E3-407E-9A28-EDDA093C81C8}">
      <formula1>Scale</formula1>
    </dataValidation>
  </dataValidations>
  <pageMargins left="0.7" right="0.7" top="0.75" bottom="0.75" header="0.3" footer="0.3"/>
  <pageSetup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8405-3799-4A2D-BEEA-2884C9F15398}">
  <dimension ref="A1:AT36"/>
  <sheetViews>
    <sheetView topLeftCell="A8" zoomScale="64" zoomScaleNormal="50" workbookViewId="0">
      <selection activeCell="A8" sqref="A1:XFD1048576"/>
    </sheetView>
  </sheetViews>
  <sheetFormatPr defaultColWidth="10.875" defaultRowHeight="15.75"/>
  <cols>
    <col min="1" max="1" width="2.375" style="42" customWidth="1"/>
    <col min="2" max="2" width="2.875" style="42" customWidth="1"/>
    <col min="3" max="3" width="96.875" style="42" customWidth="1"/>
    <col min="4" max="4" width="3.375" style="42" customWidth="1"/>
    <col min="5" max="5" width="64" style="31" customWidth="1"/>
    <col min="6" max="13" width="10.625" style="31" customWidth="1"/>
    <col min="14" max="15" width="10.625" style="42" customWidth="1"/>
    <col min="16" max="17" width="3.375" style="42" customWidth="1"/>
    <col min="18" max="18" width="20" style="42" hidden="1" customWidth="1"/>
    <col min="19" max="19" width="11.625" style="42" hidden="1" customWidth="1"/>
    <col min="20" max="20" width="10.875" style="42" hidden="1" customWidth="1"/>
    <col min="21" max="29" width="5.125" style="42" hidden="1" customWidth="1"/>
    <col min="30" max="16384" width="10.875" style="42"/>
  </cols>
  <sheetData>
    <row r="1" spans="1:46" s="43" customFormat="1" ht="16.5" thickBot="1">
      <c r="A1" s="42"/>
      <c r="B1" s="42"/>
      <c r="C1" s="42"/>
      <c r="D1" s="42"/>
      <c r="E1" s="31"/>
      <c r="F1" s="31"/>
      <c r="G1" s="31"/>
      <c r="H1" s="31"/>
      <c r="I1" s="31"/>
      <c r="J1" s="31"/>
      <c r="K1" s="31"/>
      <c r="L1" s="31"/>
      <c r="M1" s="31"/>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row>
    <row r="2" spans="1:46" s="43" customFormat="1" ht="26.25">
      <c r="A2" s="42"/>
      <c r="B2" s="44"/>
      <c r="C2" s="96" t="s">
        <v>187</v>
      </c>
      <c r="D2" s="96"/>
      <c r="E2" s="96"/>
      <c r="F2" s="96"/>
      <c r="G2" s="96"/>
      <c r="H2" s="96"/>
      <c r="I2" s="96"/>
      <c r="J2" s="96"/>
      <c r="K2" s="96"/>
      <c r="L2" s="96"/>
      <c r="M2" s="96"/>
      <c r="N2" s="96"/>
      <c r="O2" s="96"/>
      <c r="P2" s="45"/>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row>
    <row r="3" spans="1:46" s="43" customFormat="1" ht="21.75" thickBot="1">
      <c r="A3" s="42"/>
      <c r="B3" s="46"/>
      <c r="C3" s="42"/>
      <c r="D3" s="42"/>
      <c r="E3" s="4"/>
      <c r="F3" s="4"/>
      <c r="G3" s="4"/>
      <c r="H3" s="4"/>
      <c r="I3" s="4"/>
      <c r="J3" s="4"/>
      <c r="K3" s="4"/>
      <c r="L3" s="4"/>
      <c r="M3" s="4"/>
      <c r="N3" s="4"/>
      <c r="O3" s="4"/>
      <c r="P3" s="47"/>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row>
    <row r="4" spans="1:46" s="43" customFormat="1" ht="21.75" thickBot="1">
      <c r="A4" s="42"/>
      <c r="B4" s="46"/>
      <c r="C4" s="3" t="s">
        <v>11</v>
      </c>
      <c r="D4" s="4"/>
      <c r="E4" s="100" t="s">
        <v>12</v>
      </c>
      <c r="F4" s="101"/>
      <c r="G4" s="101"/>
      <c r="H4" s="101"/>
      <c r="I4" s="101"/>
      <c r="J4" s="101"/>
      <c r="K4" s="101"/>
      <c r="L4" s="101"/>
      <c r="M4" s="101"/>
      <c r="N4" s="101"/>
      <c r="O4" s="102"/>
      <c r="P4" s="47"/>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row>
    <row r="5" spans="1:46" s="43" customFormat="1">
      <c r="A5" s="42"/>
      <c r="B5" s="46"/>
      <c r="C5" s="74"/>
      <c r="D5" s="42"/>
      <c r="E5" s="49" t="s">
        <v>13</v>
      </c>
      <c r="F5" s="50" t="s">
        <v>390</v>
      </c>
      <c r="G5" s="50" t="s">
        <v>188</v>
      </c>
      <c r="H5" s="50" t="s">
        <v>189</v>
      </c>
      <c r="I5" s="50" t="s">
        <v>190</v>
      </c>
      <c r="J5" s="50" t="s">
        <v>191</v>
      </c>
      <c r="K5" s="50" t="s">
        <v>393</v>
      </c>
      <c r="L5" s="50" t="s">
        <v>192</v>
      </c>
      <c r="M5" s="50" t="s">
        <v>193</v>
      </c>
      <c r="N5" s="50" t="s">
        <v>14</v>
      </c>
      <c r="O5" s="51" t="s">
        <v>15</v>
      </c>
      <c r="P5" s="47"/>
      <c r="Q5" s="42"/>
      <c r="R5" s="42" t="s">
        <v>16</v>
      </c>
      <c r="S5" s="42" t="s">
        <v>17</v>
      </c>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row>
    <row r="6" spans="1:46" s="43" customFormat="1" ht="62.85" customHeight="1">
      <c r="A6" s="42"/>
      <c r="B6" s="46"/>
      <c r="C6" s="48"/>
      <c r="D6" s="42"/>
      <c r="E6" s="37" t="s">
        <v>417</v>
      </c>
      <c r="F6" s="9"/>
      <c r="G6" s="9"/>
      <c r="H6" s="9"/>
      <c r="I6" s="9"/>
      <c r="J6" s="9"/>
      <c r="K6" s="9"/>
      <c r="L6" s="9"/>
      <c r="M6" s="9"/>
      <c r="N6" s="8" t="e">
        <f t="shared" ref="N6:N13" si="0">AC6</f>
        <v>#N/A</v>
      </c>
      <c r="O6" s="52" t="e">
        <f>RANK(N6,$N6:$N13,0)</f>
        <v>#N/A</v>
      </c>
      <c r="P6" s="47"/>
      <c r="Q6" s="42"/>
      <c r="R6" s="42" t="s">
        <v>18</v>
      </c>
      <c r="S6" s="42">
        <v>10</v>
      </c>
      <c r="T6" s="42"/>
      <c r="U6" s="53"/>
      <c r="V6" s="54" t="e">
        <f>1/U7</f>
        <v>#N/A</v>
      </c>
      <c r="W6" s="54" t="e">
        <f>1/U8</f>
        <v>#N/A</v>
      </c>
      <c r="X6" s="54" t="e">
        <f>1/U9</f>
        <v>#N/A</v>
      </c>
      <c r="Y6" s="54" t="e">
        <f>1/U10</f>
        <v>#N/A</v>
      </c>
      <c r="Z6" s="54" t="e">
        <f>1/U11</f>
        <v>#N/A</v>
      </c>
      <c r="AA6" s="54" t="e">
        <f>1/U12</f>
        <v>#N/A</v>
      </c>
      <c r="AB6" s="54" t="e">
        <f>1/U13</f>
        <v>#N/A</v>
      </c>
      <c r="AC6" s="55" t="e">
        <f t="shared" ref="AC6:AC13" si="1">SUM(U6:AB6)</f>
        <v>#N/A</v>
      </c>
      <c r="AD6" s="42"/>
      <c r="AE6" s="42"/>
      <c r="AF6" s="42"/>
      <c r="AG6" s="42"/>
      <c r="AH6" s="42"/>
      <c r="AI6" s="42"/>
      <c r="AJ6" s="42"/>
      <c r="AK6" s="42"/>
      <c r="AL6" s="42"/>
      <c r="AM6" s="42"/>
      <c r="AN6" s="42"/>
      <c r="AO6" s="42"/>
      <c r="AP6" s="42"/>
      <c r="AQ6" s="42"/>
      <c r="AR6" s="42"/>
      <c r="AS6" s="42"/>
      <c r="AT6" s="42"/>
    </row>
    <row r="7" spans="1:46" s="43" customFormat="1" ht="62.85" customHeight="1">
      <c r="A7" s="42"/>
      <c r="B7" s="46"/>
      <c r="C7" s="48"/>
      <c r="D7" s="42"/>
      <c r="E7" s="38" t="s">
        <v>416</v>
      </c>
      <c r="F7" s="8"/>
      <c r="G7" s="9"/>
      <c r="H7" s="9"/>
      <c r="I7" s="9"/>
      <c r="J7" s="9"/>
      <c r="K7" s="9"/>
      <c r="L7" s="9"/>
      <c r="M7" s="9"/>
      <c r="N7" s="8" t="e">
        <f t="shared" si="0"/>
        <v>#N/A</v>
      </c>
      <c r="O7" s="52" t="e">
        <f>RANK(N7,$N6:$N13,0)</f>
        <v>#N/A</v>
      </c>
      <c r="P7" s="47"/>
      <c r="Q7" s="42"/>
      <c r="R7" s="42" t="s">
        <v>19</v>
      </c>
      <c r="S7" s="42">
        <v>5</v>
      </c>
      <c r="T7" s="42"/>
      <c r="U7" s="56" t="e">
        <f>VLOOKUP(F7, Table283713[#All], 2, 0)</f>
        <v>#N/A</v>
      </c>
      <c r="V7" s="53"/>
      <c r="W7" s="54" t="e">
        <f>1/V8</f>
        <v>#N/A</v>
      </c>
      <c r="X7" s="54" t="e">
        <f>1/V9</f>
        <v>#N/A</v>
      </c>
      <c r="Y7" s="54" t="e">
        <f>1/V10</f>
        <v>#N/A</v>
      </c>
      <c r="Z7" s="54" t="e">
        <f>1/V11</f>
        <v>#N/A</v>
      </c>
      <c r="AA7" s="54" t="e">
        <f>1/V12</f>
        <v>#N/A</v>
      </c>
      <c r="AB7" s="54" t="e">
        <f>1/V13</f>
        <v>#N/A</v>
      </c>
      <c r="AC7" s="55" t="e">
        <f t="shared" si="1"/>
        <v>#N/A</v>
      </c>
      <c r="AD7" s="42"/>
      <c r="AE7" s="42"/>
      <c r="AF7" s="42"/>
      <c r="AG7" s="42"/>
      <c r="AH7" s="42"/>
      <c r="AI7" s="42"/>
      <c r="AJ7" s="42"/>
      <c r="AK7" s="42"/>
      <c r="AL7" s="42"/>
      <c r="AM7" s="42"/>
      <c r="AN7" s="42"/>
      <c r="AO7" s="42"/>
      <c r="AP7" s="42"/>
      <c r="AQ7" s="42"/>
      <c r="AR7" s="42"/>
      <c r="AS7" s="42"/>
      <c r="AT7" s="42"/>
    </row>
    <row r="8" spans="1:46" s="43" customFormat="1" ht="60.4" customHeight="1">
      <c r="A8" s="42"/>
      <c r="B8" s="46"/>
      <c r="C8" s="48"/>
      <c r="D8" s="42"/>
      <c r="E8" s="38" t="s">
        <v>415</v>
      </c>
      <c r="F8" s="8"/>
      <c r="G8" s="8"/>
      <c r="H8" s="9"/>
      <c r="I8" s="9"/>
      <c r="J8" s="9"/>
      <c r="K8" s="9"/>
      <c r="L8" s="9"/>
      <c r="M8" s="9"/>
      <c r="N8" s="8" t="e">
        <f t="shared" si="0"/>
        <v>#N/A</v>
      </c>
      <c r="O8" s="52" t="e">
        <f>RANK(N8,$N6:$N13,0)</f>
        <v>#N/A</v>
      </c>
      <c r="P8" s="47"/>
      <c r="Q8" s="42"/>
      <c r="R8" s="42" t="s">
        <v>20</v>
      </c>
      <c r="S8" s="42">
        <v>1</v>
      </c>
      <c r="T8" s="42"/>
      <c r="U8" s="56" t="e">
        <f>VLOOKUP(F8, Table283713[#All], 2, 0)</f>
        <v>#N/A</v>
      </c>
      <c r="V8" s="56" t="e">
        <f>VLOOKUP(G8, Table283713[#All], 2, 0)</f>
        <v>#N/A</v>
      </c>
      <c r="W8" s="53"/>
      <c r="X8" s="54" t="e">
        <f>1/W9</f>
        <v>#N/A</v>
      </c>
      <c r="Y8" s="54" t="e">
        <f>1/W10</f>
        <v>#N/A</v>
      </c>
      <c r="Z8" s="54" t="e">
        <f>1/W11</f>
        <v>#N/A</v>
      </c>
      <c r="AA8" s="54" t="e">
        <f>1/W12</f>
        <v>#N/A</v>
      </c>
      <c r="AB8" s="54" t="e">
        <f>1/W13</f>
        <v>#N/A</v>
      </c>
      <c r="AC8" s="55" t="e">
        <f t="shared" si="1"/>
        <v>#N/A</v>
      </c>
      <c r="AD8" s="42"/>
      <c r="AE8" s="42"/>
      <c r="AF8" s="42"/>
      <c r="AG8" s="42"/>
      <c r="AH8" s="42"/>
      <c r="AI8" s="42"/>
      <c r="AJ8" s="42"/>
      <c r="AK8" s="42"/>
      <c r="AL8" s="42"/>
      <c r="AM8" s="42"/>
      <c r="AN8" s="42"/>
      <c r="AO8" s="42"/>
      <c r="AP8" s="42"/>
      <c r="AQ8" s="42"/>
      <c r="AR8" s="42"/>
      <c r="AS8" s="42"/>
      <c r="AT8" s="42"/>
    </row>
    <row r="9" spans="1:46" s="43" customFormat="1" ht="84" customHeight="1">
      <c r="A9" s="42"/>
      <c r="B9" s="46"/>
      <c r="C9" s="48"/>
      <c r="D9" s="42"/>
      <c r="E9" s="38" t="s">
        <v>414</v>
      </c>
      <c r="F9" s="8"/>
      <c r="G9" s="8"/>
      <c r="H9" s="10"/>
      <c r="I9" s="9"/>
      <c r="J9" s="9"/>
      <c r="K9" s="9"/>
      <c r="L9" s="9"/>
      <c r="M9" s="9"/>
      <c r="N9" s="8" t="e">
        <f t="shared" si="0"/>
        <v>#N/A</v>
      </c>
      <c r="O9" s="52" t="e">
        <f>RANK(N9,$N6:$N13,0)</f>
        <v>#N/A</v>
      </c>
      <c r="P9" s="47"/>
      <c r="Q9" s="42"/>
      <c r="R9" s="42" t="s">
        <v>21</v>
      </c>
      <c r="S9" s="42">
        <v>0.2</v>
      </c>
      <c r="T9" s="42"/>
      <c r="U9" s="56" t="e">
        <f>VLOOKUP(F9, Table283713[#All], 2, 0)</f>
        <v>#N/A</v>
      </c>
      <c r="V9" s="56" t="e">
        <f>VLOOKUP(G9, Table283713[#All], 2, 0)</f>
        <v>#N/A</v>
      </c>
      <c r="W9" s="56" t="e">
        <f>VLOOKUP(H9, Table283713[#All], 2, 0)</f>
        <v>#N/A</v>
      </c>
      <c r="X9" s="53"/>
      <c r="Y9" s="54" t="e">
        <f>1/X10</f>
        <v>#N/A</v>
      </c>
      <c r="Z9" s="54" t="e">
        <f>1/X11</f>
        <v>#N/A</v>
      </c>
      <c r="AA9" s="54" t="e">
        <f>1/X12</f>
        <v>#N/A</v>
      </c>
      <c r="AB9" s="54" t="e">
        <f>1/X13</f>
        <v>#N/A</v>
      </c>
      <c r="AC9" s="55" t="e">
        <f t="shared" si="1"/>
        <v>#N/A</v>
      </c>
      <c r="AD9" s="42"/>
      <c r="AE9" s="42"/>
      <c r="AF9" s="42"/>
      <c r="AG9" s="42"/>
      <c r="AH9" s="42"/>
      <c r="AI9" s="42"/>
      <c r="AJ9" s="42"/>
      <c r="AK9" s="42"/>
      <c r="AL9" s="42"/>
      <c r="AM9" s="42"/>
      <c r="AN9" s="42"/>
      <c r="AO9" s="42"/>
      <c r="AP9" s="42"/>
      <c r="AQ9" s="42"/>
      <c r="AR9" s="42"/>
      <c r="AS9" s="42"/>
      <c r="AT9" s="42"/>
    </row>
    <row r="10" spans="1:46" s="43" customFormat="1" ht="62.85" customHeight="1">
      <c r="A10" s="42"/>
      <c r="B10" s="46"/>
      <c r="C10" s="48"/>
      <c r="D10" s="42"/>
      <c r="E10" s="38" t="s">
        <v>413</v>
      </c>
      <c r="F10" s="10"/>
      <c r="G10" s="8"/>
      <c r="H10" s="8"/>
      <c r="I10" s="10"/>
      <c r="J10" s="11"/>
      <c r="K10" s="11"/>
      <c r="L10" s="11"/>
      <c r="M10" s="11"/>
      <c r="N10" s="8" t="e">
        <f t="shared" si="0"/>
        <v>#N/A</v>
      </c>
      <c r="O10" s="52" t="e">
        <f>RANK(N10,$N6:$N13,0)</f>
        <v>#N/A</v>
      </c>
      <c r="P10" s="47"/>
      <c r="Q10" s="42"/>
      <c r="R10" s="42" t="s">
        <v>22</v>
      </c>
      <c r="S10" s="42">
        <v>0.1</v>
      </c>
      <c r="T10" s="42"/>
      <c r="U10" s="56" t="e">
        <f>VLOOKUP(F10, Table283713[#All], 2, 0)</f>
        <v>#N/A</v>
      </c>
      <c r="V10" s="56" t="e">
        <f>VLOOKUP(G10, Table283713[#All], 2, 0)</f>
        <v>#N/A</v>
      </c>
      <c r="W10" s="56" t="e">
        <f>VLOOKUP(H10, Table283713[#All], 2, 0)</f>
        <v>#N/A</v>
      </c>
      <c r="X10" s="56" t="e">
        <f>VLOOKUP(I10, Table283713[#All], 2, 0)</f>
        <v>#N/A</v>
      </c>
      <c r="Y10" s="53"/>
      <c r="Z10" s="54" t="e">
        <f>1/Y11</f>
        <v>#N/A</v>
      </c>
      <c r="AA10" s="54" t="e">
        <f>1/Y12</f>
        <v>#N/A</v>
      </c>
      <c r="AB10" s="54" t="e">
        <f>1/Y13</f>
        <v>#N/A</v>
      </c>
      <c r="AC10" s="55" t="e">
        <f t="shared" si="1"/>
        <v>#N/A</v>
      </c>
      <c r="AD10" s="42"/>
      <c r="AE10" s="42"/>
      <c r="AF10" s="42"/>
      <c r="AG10" s="42"/>
      <c r="AH10" s="42"/>
      <c r="AI10" s="42"/>
      <c r="AJ10" s="42"/>
      <c r="AK10" s="42"/>
      <c r="AL10" s="42"/>
      <c r="AM10" s="42"/>
      <c r="AN10" s="42"/>
      <c r="AO10" s="42"/>
      <c r="AP10" s="42"/>
      <c r="AQ10" s="42"/>
      <c r="AR10" s="42"/>
      <c r="AS10" s="42"/>
      <c r="AT10" s="42"/>
    </row>
    <row r="11" spans="1:46" s="43" customFormat="1" ht="60.4" customHeight="1">
      <c r="A11" s="42"/>
      <c r="B11" s="46"/>
      <c r="C11" s="48"/>
      <c r="D11" s="42"/>
      <c r="E11" s="38" t="s">
        <v>391</v>
      </c>
      <c r="F11" s="8"/>
      <c r="G11" s="8"/>
      <c r="H11" s="10"/>
      <c r="I11" s="8"/>
      <c r="J11" s="8"/>
      <c r="K11" s="11"/>
      <c r="L11" s="11"/>
      <c r="M11" s="11"/>
      <c r="N11" s="8" t="e">
        <f t="shared" si="0"/>
        <v>#N/A</v>
      </c>
      <c r="O11" s="52" t="e">
        <f>RANK(N11,$N6:$N13,0)</f>
        <v>#N/A</v>
      </c>
      <c r="P11" s="47"/>
      <c r="Q11" s="42"/>
      <c r="R11" s="42"/>
      <c r="S11" s="42"/>
      <c r="T11" s="42"/>
      <c r="U11" s="56" t="e">
        <f>VLOOKUP(F11, Table283713[#All], 2, 0)</f>
        <v>#N/A</v>
      </c>
      <c r="V11" s="56" t="e">
        <f>VLOOKUP(G11, Table283713[#All], 2, 0)</f>
        <v>#N/A</v>
      </c>
      <c r="W11" s="56" t="e">
        <f>VLOOKUP(H11, Table283713[#All], 2, 0)</f>
        <v>#N/A</v>
      </c>
      <c r="X11" s="56" t="e">
        <f>VLOOKUP(I11, Table283713[#All], 2, 0)</f>
        <v>#N/A</v>
      </c>
      <c r="Y11" s="56" t="e">
        <f>VLOOKUP(J11, Table283713[#All], 2, 0)</f>
        <v>#N/A</v>
      </c>
      <c r="Z11" s="53"/>
      <c r="AA11" s="54" t="e">
        <f>1/Z12</f>
        <v>#N/A</v>
      </c>
      <c r="AB11" s="54" t="e">
        <f>1/Z13</f>
        <v>#N/A</v>
      </c>
      <c r="AC11" s="55" t="e">
        <f t="shared" si="1"/>
        <v>#N/A</v>
      </c>
      <c r="AD11" s="42"/>
      <c r="AE11" s="42"/>
      <c r="AF11" s="42"/>
      <c r="AG11" s="42"/>
      <c r="AH11" s="42"/>
      <c r="AI11" s="42"/>
      <c r="AJ11" s="42"/>
      <c r="AK11" s="42"/>
      <c r="AL11" s="42"/>
      <c r="AM11" s="42"/>
      <c r="AN11" s="42"/>
      <c r="AO11" s="42"/>
      <c r="AP11" s="42"/>
      <c r="AQ11" s="42"/>
      <c r="AR11" s="42"/>
      <c r="AS11" s="42"/>
      <c r="AT11" s="42"/>
    </row>
    <row r="12" spans="1:46" s="43" customFormat="1" ht="61.35" customHeight="1">
      <c r="A12" s="42"/>
      <c r="B12" s="46"/>
      <c r="C12" s="48"/>
      <c r="D12" s="42"/>
      <c r="E12" s="38" t="s">
        <v>392</v>
      </c>
      <c r="F12" s="10"/>
      <c r="G12" s="8"/>
      <c r="H12" s="8"/>
      <c r="I12" s="8"/>
      <c r="J12" s="8"/>
      <c r="K12" s="8"/>
      <c r="L12" s="11"/>
      <c r="M12" s="11"/>
      <c r="N12" s="8" t="e">
        <f t="shared" si="0"/>
        <v>#N/A</v>
      </c>
      <c r="O12" s="52" t="e">
        <f>RANK(N12,$N6:$N13,0)</f>
        <v>#N/A</v>
      </c>
      <c r="P12" s="47"/>
      <c r="Q12" s="42"/>
      <c r="R12" s="42"/>
      <c r="S12" s="42"/>
      <c r="T12" s="42"/>
      <c r="U12" s="56" t="e">
        <f>VLOOKUP(F12, Table283713[#All], 2, 0)</f>
        <v>#N/A</v>
      </c>
      <c r="V12" s="56" t="e">
        <f>VLOOKUP(G12, Table283713[#All], 2, 0)</f>
        <v>#N/A</v>
      </c>
      <c r="W12" s="56" t="e">
        <f>VLOOKUP(H12, Table283713[#All], 2, 0)</f>
        <v>#N/A</v>
      </c>
      <c r="X12" s="56" t="e">
        <f>VLOOKUP(I12, Table283713[#All], 2, 0)</f>
        <v>#N/A</v>
      </c>
      <c r="Y12" s="56" t="e">
        <f>VLOOKUP(J12, Table283713[#All], 2, 0)</f>
        <v>#N/A</v>
      </c>
      <c r="Z12" s="56" t="e">
        <f>VLOOKUP(K12, Table283713[#All], 2, 0)</f>
        <v>#N/A</v>
      </c>
      <c r="AA12" s="53"/>
      <c r="AB12" s="54" t="e">
        <f>1/AA13</f>
        <v>#N/A</v>
      </c>
      <c r="AC12" s="55" t="e">
        <f t="shared" si="1"/>
        <v>#N/A</v>
      </c>
      <c r="AD12" s="42"/>
      <c r="AE12" s="42"/>
      <c r="AF12" s="42"/>
      <c r="AG12" s="42"/>
      <c r="AH12" s="42"/>
      <c r="AI12" s="42"/>
      <c r="AJ12" s="42"/>
      <c r="AK12" s="42"/>
      <c r="AL12" s="42"/>
      <c r="AM12" s="42"/>
      <c r="AN12" s="42"/>
      <c r="AO12" s="42"/>
      <c r="AP12" s="42"/>
      <c r="AQ12" s="42"/>
      <c r="AR12" s="42"/>
      <c r="AS12" s="42"/>
      <c r="AT12" s="42"/>
    </row>
    <row r="13" spans="1:46" s="43" customFormat="1" ht="50.45" customHeight="1" thickBot="1">
      <c r="A13" s="42"/>
      <c r="B13" s="46"/>
      <c r="C13" s="48"/>
      <c r="D13" s="42"/>
      <c r="E13" s="39" t="s">
        <v>394</v>
      </c>
      <c r="F13" s="5"/>
      <c r="G13" s="5"/>
      <c r="H13" s="5"/>
      <c r="I13" s="13"/>
      <c r="J13" s="13"/>
      <c r="K13" s="5"/>
      <c r="L13" s="5"/>
      <c r="M13" s="6"/>
      <c r="N13" s="13" t="e">
        <f t="shared" si="0"/>
        <v>#N/A</v>
      </c>
      <c r="O13" s="57" t="e">
        <f>RANK(N13,$N6:$N13,0)</f>
        <v>#N/A</v>
      </c>
      <c r="P13" s="47"/>
      <c r="Q13" s="42"/>
      <c r="R13" s="42"/>
      <c r="S13" s="42"/>
      <c r="T13" s="42"/>
      <c r="U13" s="56" t="e">
        <f>VLOOKUP(F13, Table283713[#All], 2, 0)</f>
        <v>#N/A</v>
      </c>
      <c r="V13" s="56" t="e">
        <f>VLOOKUP(G13, Table283713[#All], 2, 0)</f>
        <v>#N/A</v>
      </c>
      <c r="W13" s="56" t="e">
        <f>VLOOKUP(H13, Table283713[#All], 2, 0)</f>
        <v>#N/A</v>
      </c>
      <c r="X13" s="56" t="e">
        <f>VLOOKUP(I13, Table283713[#All], 2, 0)</f>
        <v>#N/A</v>
      </c>
      <c r="Y13" s="56" t="e">
        <f>VLOOKUP(J13, Table283713[#All], 2, 0)</f>
        <v>#N/A</v>
      </c>
      <c r="Z13" s="56" t="e">
        <f>VLOOKUP(K13, Table283713[#All], 2, 0)</f>
        <v>#N/A</v>
      </c>
      <c r="AA13" s="56" t="e">
        <f>VLOOKUP(L13, Table283713[#All], 2, 0)</f>
        <v>#N/A</v>
      </c>
      <c r="AB13" s="66"/>
      <c r="AC13" s="55" t="e">
        <f t="shared" si="1"/>
        <v>#N/A</v>
      </c>
      <c r="AD13" s="42"/>
      <c r="AE13" s="42"/>
      <c r="AF13" s="42"/>
      <c r="AG13" s="42"/>
      <c r="AH13" s="42"/>
      <c r="AI13" s="42"/>
      <c r="AJ13" s="42"/>
      <c r="AK13" s="42"/>
      <c r="AL13" s="42"/>
      <c r="AM13" s="42"/>
      <c r="AN13" s="42"/>
      <c r="AO13" s="42"/>
      <c r="AP13" s="42"/>
      <c r="AQ13" s="42"/>
      <c r="AR13" s="42"/>
      <c r="AS13" s="42"/>
      <c r="AT13" s="42"/>
    </row>
    <row r="14" spans="1:46" s="43" customFormat="1">
      <c r="A14" s="42"/>
      <c r="B14" s="46"/>
      <c r="C14" s="48"/>
      <c r="D14" s="42"/>
      <c r="E14" s="71"/>
      <c r="F14" s="72"/>
      <c r="G14" s="72"/>
      <c r="H14" s="72"/>
      <c r="I14" s="72"/>
      <c r="J14" s="72"/>
      <c r="K14" s="72"/>
      <c r="L14" s="72"/>
      <c r="M14" s="72"/>
      <c r="N14" s="73"/>
      <c r="O14" s="42"/>
      <c r="P14" s="47"/>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row>
    <row r="15" spans="1:46" s="43" customFormat="1">
      <c r="A15" s="42"/>
      <c r="B15" s="46"/>
      <c r="C15" s="48"/>
      <c r="D15" s="42"/>
      <c r="E15" s="31"/>
      <c r="F15" s="31"/>
      <c r="G15" s="31"/>
      <c r="H15" s="31"/>
      <c r="I15" s="31"/>
      <c r="J15" s="31"/>
      <c r="K15" s="31"/>
      <c r="L15" s="31"/>
      <c r="M15" s="31"/>
      <c r="N15" s="42"/>
      <c r="O15" s="42"/>
      <c r="P15" s="47"/>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row>
    <row r="16" spans="1:46" s="43" customFormat="1">
      <c r="A16" s="42"/>
      <c r="B16" s="46"/>
      <c r="C16" s="48"/>
      <c r="D16" s="42"/>
      <c r="E16" s="31"/>
      <c r="F16" s="31"/>
      <c r="G16" s="31"/>
      <c r="H16" s="31"/>
      <c r="I16" s="31"/>
      <c r="J16" s="31"/>
      <c r="K16" s="31"/>
      <c r="L16" s="31"/>
      <c r="M16" s="31"/>
      <c r="N16" s="42"/>
      <c r="O16" s="42"/>
      <c r="P16" s="47"/>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row>
    <row r="17" spans="1:46" s="43" customFormat="1" ht="16.5" thickBot="1">
      <c r="A17" s="42"/>
      <c r="B17" s="46"/>
      <c r="C17" s="61"/>
      <c r="D17" s="42"/>
      <c r="E17" s="31"/>
      <c r="F17" s="31"/>
      <c r="G17" s="31"/>
      <c r="H17" s="31"/>
      <c r="I17" s="31"/>
      <c r="J17" s="31"/>
      <c r="K17" s="31"/>
      <c r="L17" s="31"/>
      <c r="M17" s="31"/>
      <c r="N17" s="42"/>
      <c r="O17" s="42"/>
      <c r="P17" s="47"/>
      <c r="Q17" s="42"/>
      <c r="R17" s="42"/>
      <c r="S17" s="42"/>
      <c r="T17" s="42"/>
      <c r="U17" s="42"/>
      <c r="V17" s="42"/>
      <c r="W17" s="42"/>
      <c r="X17" s="42"/>
      <c r="Y17" s="42"/>
      <c r="Z17" s="42"/>
      <c r="AA17" s="42"/>
      <c r="AB17" s="42"/>
      <c r="AC17" s="42"/>
      <c r="AD17" s="42"/>
      <c r="AE17" s="42"/>
      <c r="AF17" s="42"/>
      <c r="AG17" s="42"/>
      <c r="AH17" s="42"/>
      <c r="AI17" s="42"/>
      <c r="AJ17" s="42"/>
      <c r="AK17" s="42"/>
      <c r="AL17" s="42"/>
      <c r="AM17" s="42"/>
      <c r="AN17" s="42"/>
      <c r="AO17" s="42"/>
      <c r="AP17" s="42"/>
      <c r="AQ17" s="42"/>
      <c r="AR17" s="42"/>
      <c r="AS17" s="42"/>
      <c r="AT17" s="42"/>
    </row>
    <row r="18" spans="1:46" s="43" customFormat="1">
      <c r="A18" s="42"/>
      <c r="B18" s="46"/>
      <c r="C18" s="42"/>
      <c r="D18" s="42"/>
      <c r="E18" s="31"/>
      <c r="F18" s="31"/>
      <c r="G18" s="31"/>
      <c r="H18" s="31"/>
      <c r="I18" s="31"/>
      <c r="J18" s="31"/>
      <c r="K18" s="31"/>
      <c r="L18" s="31"/>
      <c r="M18" s="31"/>
      <c r="N18" s="42"/>
      <c r="O18" s="42"/>
      <c r="P18" s="47"/>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row>
    <row r="19" spans="1:46" s="43" customFormat="1">
      <c r="A19" s="42"/>
      <c r="B19" s="46"/>
      <c r="C19" s="42"/>
      <c r="D19" s="42"/>
      <c r="E19" s="31"/>
      <c r="F19" s="31"/>
      <c r="G19" s="31"/>
      <c r="H19" s="31"/>
      <c r="I19" s="31"/>
      <c r="J19" s="31"/>
      <c r="K19" s="31"/>
      <c r="L19" s="31"/>
      <c r="M19" s="31"/>
      <c r="N19" s="42"/>
      <c r="O19" s="42"/>
      <c r="P19" s="47"/>
      <c r="Q19" s="42"/>
      <c r="R19" s="42"/>
      <c r="S19" s="42"/>
      <c r="T19" s="42"/>
      <c r="U19" s="42"/>
      <c r="V19" s="42"/>
      <c r="W19" s="42"/>
      <c r="X19" s="42"/>
      <c r="Y19" s="42"/>
      <c r="Z19" s="42"/>
      <c r="AA19" s="42"/>
      <c r="AB19" s="42"/>
      <c r="AC19" s="42"/>
      <c r="AD19" s="42"/>
      <c r="AE19" s="42"/>
      <c r="AF19" s="42"/>
      <c r="AG19" s="42"/>
      <c r="AH19" s="42"/>
      <c r="AI19" s="42"/>
      <c r="AJ19" s="42"/>
      <c r="AK19" s="42"/>
      <c r="AL19" s="42"/>
      <c r="AM19" s="42"/>
      <c r="AN19" s="42"/>
      <c r="AO19" s="42"/>
      <c r="AP19" s="42"/>
      <c r="AQ19" s="42"/>
      <c r="AR19" s="42"/>
      <c r="AS19" s="42"/>
      <c r="AT19" s="42"/>
    </row>
    <row r="20" spans="1:46" s="43" customFormat="1">
      <c r="A20" s="42"/>
      <c r="B20" s="46"/>
      <c r="C20" s="42"/>
      <c r="D20" s="42"/>
      <c r="E20" s="31"/>
      <c r="F20" s="31"/>
      <c r="G20" s="31"/>
      <c r="H20" s="31"/>
      <c r="I20" s="31"/>
      <c r="J20" s="31"/>
      <c r="K20" s="31"/>
      <c r="L20" s="31"/>
      <c r="M20" s="31"/>
      <c r="N20" s="42"/>
      <c r="O20" s="42"/>
      <c r="P20" s="47"/>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row>
    <row r="21" spans="1:46" s="43" customFormat="1">
      <c r="A21" s="42"/>
      <c r="B21" s="46"/>
      <c r="C21" s="42"/>
      <c r="D21" s="42"/>
      <c r="E21" s="31"/>
      <c r="F21" s="31"/>
      <c r="G21" s="31"/>
      <c r="H21" s="31"/>
      <c r="I21" s="31"/>
      <c r="J21" s="31"/>
      <c r="K21" s="31"/>
      <c r="L21" s="31"/>
      <c r="M21" s="31"/>
      <c r="N21" s="42"/>
      <c r="O21" s="42"/>
      <c r="P21" s="47"/>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row>
    <row r="22" spans="1:46" s="43" customFormat="1">
      <c r="A22" s="42"/>
      <c r="B22" s="46"/>
      <c r="C22" s="42"/>
      <c r="D22" s="42"/>
      <c r="E22" s="31"/>
      <c r="F22" s="31"/>
      <c r="G22" s="31"/>
      <c r="H22" s="31"/>
      <c r="I22" s="31"/>
      <c r="J22" s="31"/>
      <c r="K22" s="31"/>
      <c r="L22" s="31"/>
      <c r="M22" s="31"/>
      <c r="N22" s="42"/>
      <c r="O22" s="42"/>
      <c r="P22" s="47"/>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P22" s="42"/>
      <c r="AQ22" s="42"/>
      <c r="AR22" s="42"/>
      <c r="AS22" s="42"/>
      <c r="AT22" s="42"/>
    </row>
    <row r="23" spans="1:46" s="43" customFormat="1">
      <c r="A23" s="42"/>
      <c r="B23" s="46"/>
      <c r="C23" s="42"/>
      <c r="D23" s="42"/>
      <c r="E23" s="31"/>
      <c r="F23" s="31"/>
      <c r="G23" s="31"/>
      <c r="H23" s="31"/>
      <c r="I23" s="31"/>
      <c r="J23" s="31"/>
      <c r="K23" s="31"/>
      <c r="L23" s="31"/>
      <c r="M23" s="31"/>
      <c r="N23" s="42"/>
      <c r="O23" s="42"/>
      <c r="P23" s="47"/>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row>
    <row r="24" spans="1:46" s="43" customFormat="1">
      <c r="A24" s="42"/>
      <c r="B24" s="46"/>
      <c r="C24" s="42"/>
      <c r="D24" s="42"/>
      <c r="E24" s="31"/>
      <c r="F24" s="31"/>
      <c r="G24" s="31"/>
      <c r="H24" s="31"/>
      <c r="I24" s="31"/>
      <c r="J24" s="31"/>
      <c r="K24" s="31"/>
      <c r="L24" s="31"/>
      <c r="M24" s="31"/>
      <c r="N24" s="42"/>
      <c r="O24" s="42"/>
      <c r="P24" s="47"/>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row>
    <row r="25" spans="1:46" s="43" customFormat="1" ht="20.85" customHeight="1">
      <c r="A25" s="42"/>
      <c r="B25" s="46"/>
      <c r="C25" s="42"/>
      <c r="D25" s="42"/>
      <c r="E25" s="31"/>
      <c r="F25" s="31"/>
      <c r="G25" s="31"/>
      <c r="H25" s="31"/>
      <c r="I25" s="31"/>
      <c r="J25" s="31"/>
      <c r="K25" s="31"/>
      <c r="L25" s="31"/>
      <c r="M25" s="31"/>
      <c r="N25" s="42"/>
      <c r="O25" s="42"/>
      <c r="P25" s="47"/>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row>
    <row r="26" spans="1:46" s="43" customFormat="1">
      <c r="A26" s="42"/>
      <c r="B26" s="46"/>
      <c r="C26" s="42"/>
      <c r="D26" s="42"/>
      <c r="E26" s="31"/>
      <c r="F26" s="31"/>
      <c r="G26" s="31"/>
      <c r="H26" s="31"/>
      <c r="I26" s="31"/>
      <c r="J26" s="31"/>
      <c r="K26" s="31"/>
      <c r="L26" s="31"/>
      <c r="M26" s="31"/>
      <c r="N26" s="42"/>
      <c r="O26" s="42"/>
      <c r="P26" s="47"/>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row>
    <row r="27" spans="1:46" s="43" customFormat="1" ht="16.5" thickBot="1">
      <c r="A27" s="42"/>
      <c r="B27" s="62"/>
      <c r="C27" s="63"/>
      <c r="D27" s="63"/>
      <c r="E27" s="33"/>
      <c r="F27" s="33"/>
      <c r="G27" s="33"/>
      <c r="H27" s="33"/>
      <c r="I27" s="33"/>
      <c r="J27" s="33"/>
      <c r="K27" s="33"/>
      <c r="L27" s="33"/>
      <c r="M27" s="33"/>
      <c r="N27" s="63"/>
      <c r="O27" s="63"/>
      <c r="P27" s="64"/>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row>
    <row r="28" spans="1:46" s="43" customFormat="1">
      <c r="A28" s="42"/>
      <c r="B28" s="42"/>
      <c r="C28" s="42"/>
      <c r="D28" s="42"/>
      <c r="E28" s="31"/>
      <c r="F28" s="31"/>
      <c r="G28" s="31"/>
      <c r="H28" s="31"/>
      <c r="I28" s="31"/>
      <c r="J28" s="31"/>
      <c r="K28" s="31"/>
      <c r="L28" s="31"/>
      <c r="M28" s="31"/>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row>
    <row r="29" spans="1:46" s="43" customFormat="1">
      <c r="A29" s="42"/>
      <c r="B29" s="42"/>
      <c r="C29" s="42"/>
      <c r="D29" s="42"/>
      <c r="E29" s="31"/>
      <c r="F29" s="31"/>
      <c r="G29" s="31"/>
      <c r="H29" s="31"/>
      <c r="I29" s="31"/>
      <c r="J29" s="31"/>
      <c r="K29" s="31"/>
      <c r="L29" s="31"/>
      <c r="M29" s="31"/>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row>
    <row r="30" spans="1:46" s="60" customFormat="1">
      <c r="A30" s="42"/>
      <c r="B30" s="42"/>
      <c r="C30" s="42"/>
      <c r="D30" s="42"/>
      <c r="E30" s="31"/>
      <c r="F30" s="31"/>
      <c r="G30" s="31"/>
      <c r="H30" s="31"/>
      <c r="I30" s="31"/>
      <c r="J30" s="31"/>
      <c r="K30" s="31"/>
      <c r="L30" s="31"/>
      <c r="M30" s="31"/>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row>
    <row r="36" spans="5:5">
      <c r="E36" s="42"/>
    </row>
  </sheetData>
  <mergeCells count="2">
    <mergeCell ref="C2:O2"/>
    <mergeCell ref="E4:O4"/>
  </mergeCells>
  <dataValidations count="1">
    <dataValidation type="list" allowBlank="1" showInputMessage="1" showErrorMessage="1" sqref="J11:J13 F7:F13 K12:K13 L13 I10:I13 H9:H13 G8:G13" xr:uid="{1E61CDAD-62BF-4023-94C0-EEBB822F208E}">
      <formula1>Scale</formula1>
    </dataValidation>
  </dataValidations>
  <pageMargins left="0.7" right="0.7" top="0.75" bottom="0.75" header="0.3" footer="0.3"/>
  <pageSetup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ADC43-9E50-43D5-A7BD-E9686AE1E0D3}">
  <dimension ref="B2:H10"/>
  <sheetViews>
    <sheetView workbookViewId="0">
      <selection sqref="A1:XFD1048576"/>
    </sheetView>
  </sheetViews>
  <sheetFormatPr defaultColWidth="8.625" defaultRowHeight="15.75"/>
  <cols>
    <col min="1" max="1" width="2.875" style="79" customWidth="1"/>
    <col min="2" max="2" width="11.625" style="79" customWidth="1"/>
    <col min="3" max="7" width="8.625" style="79"/>
    <col min="8" max="8" width="22.625" style="79" customWidth="1"/>
    <col min="9" max="16384" width="8.625" style="79"/>
  </cols>
  <sheetData>
    <row r="2" spans="2:8">
      <c r="B2" s="88" t="s">
        <v>396</v>
      </c>
      <c r="C2" s="88"/>
      <c r="D2" s="88"/>
      <c r="E2" s="88"/>
      <c r="F2" s="88"/>
      <c r="G2" s="88"/>
      <c r="H2" s="88"/>
    </row>
    <row r="3" spans="2:8">
      <c r="B3" s="79" t="s">
        <v>397</v>
      </c>
    </row>
    <row r="7" spans="2:8">
      <c r="B7" s="88" t="s">
        <v>398</v>
      </c>
      <c r="C7" s="88"/>
      <c r="D7" s="88"/>
      <c r="E7" s="88"/>
      <c r="F7" s="88"/>
      <c r="G7" s="88"/>
      <c r="H7" s="88"/>
    </row>
    <row r="8" spans="2:8">
      <c r="B8" s="79" t="s">
        <v>399</v>
      </c>
    </row>
    <row r="9" spans="2:8">
      <c r="B9" s="79" t="s">
        <v>400</v>
      </c>
    </row>
    <row r="10" spans="2:8">
      <c r="B10" s="79" t="s">
        <v>401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008807-b6bb-4b9e-93f8-54ab9d0a3b88">
      <Terms xmlns="http://schemas.microsoft.com/office/infopath/2007/PartnerControls"/>
    </lcf76f155ced4ddcb4097134ff3c332f>
    <TaxCatchAll xmlns="0191a84b-ffbd-406c-9cb4-f3d8d2fa9e9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E6521DABBF9554C9A2733E6BE997CE8" ma:contentTypeVersion="15" ma:contentTypeDescription="Create a new document." ma:contentTypeScope="" ma:versionID="f32599416712fc433d86160a83189443">
  <xsd:schema xmlns:xsd="http://www.w3.org/2001/XMLSchema" xmlns:xs="http://www.w3.org/2001/XMLSchema" xmlns:p="http://schemas.microsoft.com/office/2006/metadata/properties" xmlns:ns2="d6008807-b6bb-4b9e-93f8-54ab9d0a3b88" xmlns:ns3="0191a84b-ffbd-406c-9cb4-f3d8d2fa9e95" targetNamespace="http://schemas.microsoft.com/office/2006/metadata/properties" ma:root="true" ma:fieldsID="d8a28c61030d3860fdfb5c84f378916a" ns2:_="" ns3:_="">
    <xsd:import namespace="d6008807-b6bb-4b9e-93f8-54ab9d0a3b88"/>
    <xsd:import namespace="0191a84b-ffbd-406c-9cb4-f3d8d2fa9e9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008807-b6bb-4b9e-93f8-54ab9d0a3b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191a84b-ffbd-406c-9cb4-f3d8d2fa9e9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6fbbfcb-916d-4725-829b-87f86b2d94c4}" ma:internalName="TaxCatchAll" ma:showField="CatchAllData" ma:web="0191a84b-ffbd-406c-9cb4-f3d8d2fa9e9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939C73-78D4-40D5-8F1E-DA0FB41E069F}">
  <ds:schemaRefs>
    <ds:schemaRef ds:uri="http://schemas.microsoft.com/sharepoint/v3/contenttype/forms"/>
  </ds:schemaRefs>
</ds:datastoreItem>
</file>

<file path=customXml/itemProps2.xml><?xml version="1.0" encoding="utf-8"?>
<ds:datastoreItem xmlns:ds="http://schemas.openxmlformats.org/officeDocument/2006/customXml" ds:itemID="{F6B29AAA-628F-46EA-A55A-81B4FC6509B4}">
  <ds:schemaRefs>
    <ds:schemaRef ds:uri="http://schemas.microsoft.com/office/2006/metadata/properties"/>
    <ds:schemaRef ds:uri="http://schemas.microsoft.com/office/infopath/2007/PartnerControls"/>
    <ds:schemaRef ds:uri="http://schemas.microsoft.com/sharepoint/v3"/>
    <ds:schemaRef ds:uri="d919cae7-56e2-463c-90dd-c6acef0f6857"/>
    <ds:schemaRef ds:uri="d4419899-87c7-47d4-baf6-3a48f6605cac"/>
    <ds:schemaRef ds:uri="d6008807-b6bb-4b9e-93f8-54ab9d0a3b88"/>
    <ds:schemaRef ds:uri="0191a84b-ffbd-406c-9cb4-f3d8d2fa9e95"/>
  </ds:schemaRefs>
</ds:datastoreItem>
</file>

<file path=customXml/itemProps3.xml><?xml version="1.0" encoding="utf-8"?>
<ds:datastoreItem xmlns:ds="http://schemas.openxmlformats.org/officeDocument/2006/customXml" ds:itemID="{44791746-4233-4884-B162-C0B4FC150E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14</vt:i4>
      </vt:variant>
    </vt:vector>
  </HeadingPairs>
  <TitlesOfParts>
    <vt:vector size="30" baseType="lpstr">
      <vt:lpstr>Instructions</vt:lpstr>
      <vt:lpstr>Domain 1</vt:lpstr>
      <vt:lpstr>Domain 2</vt:lpstr>
      <vt:lpstr>Domain 3</vt:lpstr>
      <vt:lpstr>Domain 4</vt:lpstr>
      <vt:lpstr>Domain 5</vt:lpstr>
      <vt:lpstr>Domain 6</vt:lpstr>
      <vt:lpstr>Domain 7</vt:lpstr>
      <vt:lpstr>Domain 8</vt:lpstr>
      <vt:lpstr>Domain 9</vt:lpstr>
      <vt:lpstr>Domain 10</vt:lpstr>
      <vt:lpstr>Domain 11</vt:lpstr>
      <vt:lpstr>Domain 12</vt:lpstr>
      <vt:lpstr>Domain 13</vt:lpstr>
      <vt:lpstr>Domain 14</vt:lpstr>
      <vt:lpstr>Acknowledgements</vt:lpstr>
      <vt:lpstr>'Domain 1'!Scale</vt:lpstr>
      <vt:lpstr>'Domain 10'!Scale</vt:lpstr>
      <vt:lpstr>'Domain 11'!Scale</vt:lpstr>
      <vt:lpstr>'Domain 12'!Scale</vt:lpstr>
      <vt:lpstr>'Domain 13'!Scale</vt:lpstr>
      <vt:lpstr>'Domain 14'!Scale</vt:lpstr>
      <vt:lpstr>'Domain 2'!Scale</vt:lpstr>
      <vt:lpstr>'Domain 3'!Scale</vt:lpstr>
      <vt:lpstr>'Domain 4'!Scale</vt:lpstr>
      <vt:lpstr>'Domain 5'!Scale</vt:lpstr>
      <vt:lpstr>'Domain 6'!Scale</vt:lpstr>
      <vt:lpstr>'Domain 7'!Scale</vt:lpstr>
      <vt:lpstr>'Domain 8'!Scale</vt:lpstr>
      <vt:lpstr>'Domain 9'!Scale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Cargill</dc:creator>
  <cp:keywords/>
  <dc:description/>
  <cp:lastModifiedBy>DUNKLE, Stacie </cp:lastModifiedBy>
  <cp:revision/>
  <dcterms:created xsi:type="dcterms:W3CDTF">2022-04-19T15:46:18Z</dcterms:created>
  <dcterms:modified xsi:type="dcterms:W3CDTF">2024-04-16T19:20:40Z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0x0101000E6521DABBF9554C9A2733E6BE997CE8</vt:lpwstr>
  </property>
  <property fmtid="{D5CDD505-2E9C-101B-9397-08002B2CF9AE}" pid="3" name="MediaServiceImageTags">
    <vt:lpwstr/>
  </property>
</Properties>
</file>